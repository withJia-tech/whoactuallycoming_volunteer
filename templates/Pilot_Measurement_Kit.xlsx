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d549c1179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5fe828d63f934b68"/>
    <x:sheet xmlns:r="http://schemas.openxmlformats.org/officeDocument/2006/relationships" name="Settings" sheetId="2" r:id="Reace67bfb6c44427"/>
    <x:sheet xmlns:r="http://schemas.openxmlformats.org/officeDocument/2006/relationships" name="Events" sheetId="3" r:id="R1a08f44d056f4595"/>
    <x:sheet xmlns:r="http://schemas.openxmlformats.org/officeDocument/2006/relationships" name="E1" sheetId="4" r:id="R82b2ef9354b9461d"/>
    <x:sheet xmlns:r="http://schemas.openxmlformats.org/officeDocument/2006/relationships" name="E2" sheetId="5" r:id="Re954c3eab5364255"/>
    <x:sheet xmlns:r="http://schemas.openxmlformats.org/officeDocument/2006/relationships" name="Slots" sheetId="6" r:id="R48c07f6f591848a9"/>
    <x:sheet xmlns:r="http://schemas.openxmlformats.org/officeDocument/2006/relationships" name="Effort" sheetId="7" r:id="Rd68d9f292fa94506"/>
    <x:sheet xmlns:r="http://schemas.openxmlformats.org/officeDocument/2006/relationships" name="Subgroups" sheetId="8" r:id="R3c53966ddd5f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83B4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A12318"/>
      </x:font>
      <x:fill>
        <x:patternFill patternType="solid">
          <x:bgColor rgb="FFFDE4E1"/>
        </x:patternFill>
      </x:fill>
    </x:dxf>
    <x:dxf>
      <x:font>
        <x:b/>
        <x:color rgb="FFA12318"/>
      </x:font>
      <x:fill>
        <x:patternFill patternType="solid">
          <x:bgColor rgb="FFFDE4E1"/>
        </x:patternFill>
      </x:fill>
    </x:dxf>
    <x:dxf>
      <x:font>
        <x:color rgb="FFA12318"/>
      </x:font>
      <x:fill>
        <x:patternFill patternType="solid">
          <x:bgColor rgb="FFFDE4E1"/>
        </x:patternFill>
      </x:fill>
    </x:dxf>
    <x:dxf>
      <x:font>
        <x:color rgb="FF765408"/>
      </x:font>
      <x:fill>
        <x:patternFill patternType="solid">
          <x:bgColor rgb="FFFFF4D6"/>
        </x:patternFill>
      </x:fill>
    </x:dxf>
    <x:dxf>
      <x:font>
        <x:color rgb="FF765408"/>
      </x:font>
      <x:fill>
        <x:patternFill patternType="solid">
          <x:bgColor rgb="FFFFF4D6"/>
        </x:patternFill>
      </x:fill>
    </x:dxf>
    <x:dxf>
      <x:font>
        <x:color rgb="FFA12318"/>
      </x:font>
      <x:fill>
        <x:patternFill patternType="solid">
          <x:bgColor rgb="FFFDE4E1"/>
        </x:patternFill>
      </x:fill>
    </x:dxf>
    <x:dxf>
      <x:font>
        <x:color rgb="FF765408"/>
      </x:font>
      <x:fill>
        <x:patternFill patternType="solid">
          <x:bgColor rgb="FFFFF4D6"/>
        </x:patternFill>
      </x:fill>
    </x:dxf>
    <x:dxf>
      <x:font>
        <x:color rgb="FF765408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f7983c7df428b" /><Relationship Type="http://schemas.openxmlformats.org/officeDocument/2006/relationships/theme" Target="/xl/theme/theme1.xml" Id="Rf3cb069d67df4c4a" /><Relationship Type="http://schemas.openxmlformats.org/officeDocument/2006/relationships/sharedStrings" Target="/xl/sharedStrings.xml" Id="R80766856f9074550" /><Relationship Type="http://schemas.openxmlformats.org/officeDocument/2006/relationships/worksheet" Target="/xl/worksheets/sheet1.xml" Id="R5fe828d63f934b68" /><Relationship Type="http://schemas.openxmlformats.org/officeDocument/2006/relationships/worksheet" Target="/xl/worksheets/sheet2.xml" Id="Reace67bfb6c44427" /><Relationship Type="http://schemas.openxmlformats.org/officeDocument/2006/relationships/worksheet" Target="/xl/worksheets/sheet3.xml" Id="R1a08f44d056f4595" /><Relationship Type="http://schemas.openxmlformats.org/officeDocument/2006/relationships/worksheet" Target="/xl/worksheets/sheet4.xml" Id="R82b2ef9354b9461d" /><Relationship Type="http://schemas.openxmlformats.org/officeDocument/2006/relationships/worksheet" Target="/xl/worksheets/sheet5.xml" Id="Re954c3eab5364255" /><Relationship Type="http://schemas.openxmlformats.org/officeDocument/2006/relationships/worksheet" Target="/xl/worksheets/sheet6.xml" Id="R48c07f6f591848a9" /><Relationship Type="http://schemas.openxmlformats.org/officeDocument/2006/relationships/worksheet" Target="/xl/worksheets/sheet7.xml" Id="Rd68d9f292fa94506" /><Relationship Type="http://schemas.openxmlformats.org/officeDocument/2006/relationships/worksheet" Target="/xl/worksheets/sheet8.xml" Id="R3c53966ddd5f42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2" customHeight="1">
      <x:c r="A1" s="11" t="str">
        <x:v>Who's actually coming?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3" t="str">
        <x:v>Two-event measurement kit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3" t="str">
        <x:v>Human approvals</x:v>
      </x:c>
      <x:c r="B4" s="3" t="str">
        <x:f>IFERROR(IF(AND(Settings!B10="yes",Settings!B11="yes",Settings!B12&lt;&gt;"",ISNUMBER(DATEVALUE(Settings!B13)),Settings!B13&lt;Events!D2,Settings!B13&lt;Events!D3),"CONFIRMED","PENDING"),"PENDING")</x:f>
        <x:v>PENDING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2" customHeight="1">
      <x:c r="A5" s="3" t="str">
        <x:v>Pilot outcome</x:v>
      </x:c>
      <x:c r="B5" s="3" t="str">
        <x:f>IF(B4&lt;&gt;"CONFIRMED","BLOCKED",IF(COUNTIF(B8:C14,"FAIL")&gt;0,"FAIL",IF(COUNTIF(B8:C14,"BLOCKED")&gt;0,"BLOCKED",IF(COUNTIF(B8:C14,"INCONCLUSIVE")&gt;0,"INCONCLUSIVE","PASS"))))</x:f>
        <x:v>BLOCKED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42" customHeight="1">
      <x:c r="A7" s="6" t="str">
        <x:v>Acceptance test</x:v>
      </x:c>
      <x:c r="B7" s="6" t="str">
        <x:v>E1</x:v>
      </x:c>
      <x:c r="C7" s="6" t="str">
        <x:v>E2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ht="36" customHeight="1">
      <x:c r="A8" s="3" t="str">
        <x:v>T0 Successful sends / intended</x:v>
      </x:c>
      <x:c r="B8" s="3" t="str">
        <x:f>IF(B27&gt;0,"BLOCKED",IF(B18=0,"INCONCLUSIVE",IF(B19=B18,"PASS","FAIL")))</x:f>
        <x:v>BLOCKED</x:v>
      </x:c>
      <x:c r="C8" s="3" t="str">
        <x:f>IF(C27&gt;0,"BLOCKED",IF(C18=0,"INCONCLUSIVE",IF(C19=C18,"PASS","FAIL")))</x:f>
        <x:v>BLOCKED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ht="36" customHeight="1">
      <x:c r="A9" s="3" t="str">
        <x:v>T1 Attended confirmations / confirmed</x:v>
      </x:c>
      <x:c r="B9" s="3" t="str">
        <x:f>IF(B8&lt;&gt;"PASS","BLOCKED",IF(B20=0,"INCONCLUSIVE",IF(B29&gt;=Settings!$B$3,"PASS","FAIL")))</x:f>
        <x:v>BLOCKED</x:v>
      </x:c>
      <x:c r="C9" s="3" t="str">
        <x:f>IF(C8&lt;&gt;"PASS","BLOCKED",IF(C20=0,"INCONCLUSIVE",IF(C29&gt;=Settings!$B$3,"PASS","FAIL")))</x:f>
        <x:v>BLOCKED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36" customHeight="1">
      <x:c r="A10" s="3" t="str">
        <x:v>T2 Chasing / baseline minutes</x:v>
      </x:c>
      <x:c r="B10" s="3" t="str">
        <x:f>IF(B27&gt;0,"BLOCKED",IF(B25=0,"INCONCLUSIVE",IF(B24&lt;=Settings!$B$4*B25,"PASS","FAIL")))</x:f>
        <x:v>BLOCKED</x:v>
      </x:c>
      <x:c r="C10" s="3" t="str">
        <x:f>IF(C27&gt;0,"BLOCKED",IF(C25=0,"INCONCLUSIVE",IF(C24&lt;=Settings!$B$4*C25,"PASS","FAIL")))</x:f>
        <x:v>BLOCKED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36" customHeight="1">
      <x:c r="A11" s="3" t="str">
        <x:v>T3 Never replied but attended</x:v>
      </x:c>
      <x:c r="B11" s="3" t="str">
        <x:f>IF(B8&lt;&gt;"PASS","BLOCKED",IF(B23&lt;=Settings!$B$5,"PASS","FAIL"))</x:f>
        <x:v>BLOCKED</x:v>
      </x:c>
      <x:c r="C11" s="3" t="str">
        <x:f>IF(C8&lt;&gt;"PASS","BLOCKED",IF(C23&lt;=Settings!$B$5,"PASS","FAIL"))</x:f>
        <x:v>BLOCKED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36" customHeight="1">
      <x:c r="A12" s="3" t="str">
        <x:v>T4 Deadline replies / successful sends</x:v>
      </x:c>
      <x:c r="B12" s="3" t="str">
        <x:f>IF(B8&lt;&gt;"PASS","BLOCKED",IF(B19=0,"INCONCLUSIVE",IF(B31&gt;=Settings!$B$6,"PASS","FAIL")))</x:f>
        <x:v>BLOCKED</x:v>
      </x:c>
      <x:c r="C12" s="3" t="str">
        <x:f>IF(C8&lt;&gt;"PASS","BLOCKED",IF(C19=0,"INCONCLUSIVE",IF(C31&gt;=Settings!$B$6,"PASS","FAIL")))</x:f>
        <x:v>BLOCKED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36" customHeight="1">
      <x:c r="A13" s="3" t="str">
        <x:v>T6 Subgroup differences</x:v>
      </x:c>
      <x:c r="B13" s="3" t="str">
        <x:f>IF(B8&lt;&gt;"PASS","BLOCKED",IF(COUNTIFS(Subgroups!$A$2:$A$25,"E1",Subgroups!$J$2:$J$25,"FAIL")&gt;0,"FAIL",IF(COUNTIFS(Subgroups!$A$2:$A$25,"E1",Subgroups!$J$2:$J$25,"INCONCLUSIVE")&gt;0,"INCONCLUSIVE","PASS")))</x:f>
        <x:v>BLOCKED</x:v>
      </x:c>
      <x:c r="C13" s="3" t="str">
        <x:f>IF(C8&lt;&gt;"PASS","BLOCKED",IF(COUNTIFS(Subgroups!$A$2:$A$25,"E2",Subgroups!$J$2:$J$25,"FAIL")&gt;0,"FAIL",IF(COUNTIFS(Subgroups!$A$2:$A$25,"E2",Subgroups!$J$2:$J$25,"INCONCLUSIVE")&gt;0,"INCONCLUSIVE","PASS")))</x:f>
        <x:v>BLOCKED</x:v>
      </x:c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36" customHeight="1">
      <x:c r="A14" s="3" t="str">
        <x:v>T7 Independent operation</x:v>
      </x:c>
      <x:c r="B14" s="3" t="str">
        <x:f>IF(OR(B27&gt;0,Events!P2="unknown",Events!Q2="unknown"),"BLOCKED",IF(OR(Events!P2="no",Events!Q2="no",AND(Events!B2="ground",Events!O2&lt;&gt;"second")),"FAIL","PASS"))</x:f>
        <x:v>BLOCKED</x:v>
      </x:c>
      <x:c r="C14" s="3" t="str">
        <x:f>IF(OR(C27&gt;0,Events!P3="unknown",Events!Q3="unknown"),"BLOCKED",IF(OR(Events!P3="no",Events!Q3="no",AND(Events!B3="ground",Events!O3&lt;&gt;"second")),"FAIL","PASS"))</x:f>
        <x:v>BLOCKED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22" customHeight="1">
      <x:c r="A15" s="3" t="str">
        <x:v>T5 Both lanes (T1–T4)</x:v>
      </x:c>
      <x:c r="B15" s="3" t="str">
        <x:f>IF(COUNTIF(B9:C12,"FAIL")&gt;0,"FAIL",IF(COUNTIF(B9:C12,"BLOCKED")&gt;0,"BLOCKED",IF(COUNTIF(B9:C12,"INCONCLUSIVE")&gt;0,"INCONCLUSIVE","PASS")))</x:f>
        <x:v>BLOCKED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42" customHeight="1">
      <x:c r="A17" s="6" t="str">
        <x:v>Diagnostic measure</x:v>
      </x:c>
      <x:c r="B17" s="6" t="str">
        <x:v>E1</x:v>
      </x:c>
      <x:c r="C17" s="6" t="str">
        <x:v>E2</x:v>
      </x:c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22" customHeight="1">
      <x:c r="A18" s="3" t="str">
        <x:v>Intended confirmations</x:v>
      </x:c>
      <x:c r="B18" s="3" t="n">
        <x:f>COUNTIFS(E1!$F$2:$F$201,"include")</x:f>
        <x:v>0</x:v>
      </x:c>
      <x:c r="C18" s="3" t="n">
        <x:f>COUNTIFS(E2!$F$2:$F$201,"include")</x:f>
        <x:v>0</x:v>
      </x:c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2" customHeight="1">
      <x:c r="A19" s="3" t="str">
        <x:v>Successful sends</x:v>
      </x:c>
      <x:c r="B19" s="3" t="n">
        <x:f>COUNTIFS(E1!$F$2:$F$201,"include",E1!$I$2:$I$201,"success")</x:f>
        <x:v>0</x:v>
      </x:c>
      <x:c r="C19" s="3" t="n">
        <x:f>COUNTIFS(E2!$F$2:$F$201,"include",E2!$I$2:$I$201,"success")</x:f>
        <x:v>0</x:v>
      </x:c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2" customHeight="1">
      <x:c r="A20" s="3" t="str">
        <x:v>Confirmed by deadline</x:v>
      </x:c>
      <x:c r="B20" s="3" t="n">
        <x:f>COUNTIFS(E1!$F$2:$F$201,"include",E1!$K$2:$K$201,"yes")</x:f>
        <x:v>0</x:v>
      </x:c>
      <x:c r="C20" s="3" t="n">
        <x:f>COUNTIFS(E2!$F$2:$F$201,"include",E2!$K$2:$K$201,"yes")</x:f>
        <x:v>0</x:v>
      </x:c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2" customHeight="1">
      <x:c r="A21" s="3" t="str">
        <x:v>Confirmed and attended</x:v>
      </x:c>
      <x:c r="B21" s="3" t="n">
        <x:f>COUNTIFS(E1!$F$2:$F$201,"include",E1!$K$2:$K$201,"yes",E1!$N$2:$N$201,"yes")</x:f>
        <x:v>0</x:v>
      </x:c>
      <x:c r="C21" s="3" t="n">
        <x:f>COUNTIFS(E2!$F$2:$F$201,"include",E2!$K$2:$K$201,"yes",E2!$N$2:$N$201,"yes")</x:f>
        <x:v>0</x:v>
      </x:c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2" customHeight="1">
      <x:c r="A22" s="3" t="str">
        <x:v>Deadline replies 1 or 2</x:v>
      </x:c>
      <x:c r="B22" s="3" t="n">
        <x:f>COUNTIFS(E1!$F$2:$F$201,"include",E1!$K$2:$K$201,"yes",E1!$I$2:$I$201,"success")+COUNTIFS(E1!$F$2:$F$201,"include",E1!$K$2:$K$201,"no",E1!$I$2:$I$201,"success")</x:f>
        <x:v>0</x:v>
      </x:c>
      <x:c r="C22" s="3" t="n">
        <x:f>COUNTIFS(E2!$F$2:$F$201,"include",E2!$K$2:$K$201,"yes",E2!$I$2:$I$201,"success")+COUNTIFS(E2!$F$2:$F$201,"include",E2!$K$2:$K$201,"no",E2!$I$2:$I$201,"success")</x:f>
        <x:v>0</x:v>
      </x:c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2" customHeight="1">
      <x:c r="A23" s="3" t="str">
        <x:v>Never replied but attended</x:v>
      </x:c>
      <x:c r="B23" s="3" t="n">
        <x:f>COUNTIFS(E1!$F$2:$F$201,"include",E1!$M$2:$M$201,"no",E1!$N$2:$N$201,"yes")</x:f>
        <x:v>0</x:v>
      </x:c>
      <x:c r="C23" s="3" t="n">
        <x:f>COUNTIFS(E2!$F$2:$F$201,"include",E2!$M$2:$M$201,"no",E2!$N$2:$N$201,"yes")</x:f>
        <x:v>0</x:v>
      </x:c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2" customHeight="1">
      <x:c r="A24" s="3" t="str">
        <x:v>Chasing minutes incl. nudges</x:v>
      </x:c>
      <x:c r="B24" s="3" t="n">
        <x:f>SUMIFS(Effort!$E$2:$E$101,Effort!$B$2:$B$101,"E1",Effort!$D$2:$D$101,"chasing")+SUMIFS(Effort!$E$2:$E$101,Effort!$B$2:$B$101,"E1",Effort!$D$2:$D$101,"nudge")</x:f>
        <x:v>0</x:v>
      </x:c>
      <x:c r="C24" s="3" t="n">
        <x:f>SUMIFS(Effort!$E$2:$E$101,Effort!$B$2:$B$101,"E2",Effort!$D$2:$D$101,"chasing")+SUMIFS(Effort!$E$2:$E$101,Effort!$B$2:$B$101,"E2",Effort!$D$2:$D$101,"nudge")</x:f>
        <x:v>0</x:v>
      </x:c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2" customHeight="1">
      <x:c r="A25" s="3" t="str">
        <x:v>Baseline chasing minutes</x:v>
      </x:c>
      <x:c r="B25" s="3" t="str">
        <x:f>IF(ISNUMBER(Events!N2),Events!N2,"")</x:f>
      </x:c>
      <x:c r="C25" s="3" t="str">
        <x:f>IF(ISNUMBER(Events!N3),Events!N3,"")</x:f>
      </x:c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2" customHeight="1">
      <x:c r="A26" s="3" t="str">
        <x:v>Total organiser minutes</x:v>
      </x:c>
      <x:c r="B26" s="3" t="n">
        <x:f>SUMIFS(Effort!$E$2:$E$101,Effort!$B$2:$B$101,"E1")</x:f>
        <x:v>0</x:v>
      </x:c>
      <x:c r="C26" s="3" t="n">
        <x:f>SUMIFS(Effort!$E$2:$E$101,Effort!$B$2:$B$101,"E2")</x:f>
        <x:v>0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2" customHeight="1">
      <x:c r="A27" s="3" t="str">
        <x:v>Data checks requiring resolution</x:v>
      </x:c>
      <x:c r="B27" s="3" t="n">
        <x:f>COUNTIF(E1!$Q$2:$Q$201,"CHECK")+COUNTIF(Settings!C2:C14,"CHECK")+IF(Events!R2="OK",0,1)+IF(AND(COUNTIF(Events!B2:B3,"onePA")=1,COUNTIF(Events!B2:B3,"ground")=1),0,1)+COUNTIF(Slots!J2:J31,"CHECK")+COUNTIF(Effort!F2:F101,"CHECK")+IF(COUNTA(E1!A:A)&gt;COUNTA(E1!A1:A201),1,0)+IF(COUNTA(Slots!A:A)&gt;COUNTA(Slots!A1:A31),1,0)+IF(COUNTA(Effort!A:A)&gt;COUNTA(Effort!A1:A101),1,0)</x:f>
        <x:v>1</x:v>
      </x:c>
      <x:c r="C27" s="3" t="n">
        <x:f>COUNTIF(E2!$Q$2:$Q$201,"CHECK")+COUNTIF(Settings!C2:C14,"CHECK")+IF(Events!R3="OK",0,1)+IF(AND(COUNTIF(Events!B2:B3,"onePA")=1,COUNTIF(Events!B2:B3,"ground")=1),0,1)+COUNTIF(Slots!J2:J31,"CHECK")+COUNTIF(Effort!F2:F101,"CHECK")+IF(COUNTA(E2!A:A)&gt;COUNTA(E2!A1:A201),1,0)+IF(COUNTA(Slots!A:A)&gt;COUNTA(Slots!A1:A31),1,0)+IF(COUNTA(Effort!A:A)&gt;COUNTA(Effort!A1:A101),1,0)</x:f>
        <x:v>1</x:v>
      </x:c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2" customHeight="1">
      <x:c r="A28" s="3" t="str">
        <x:v>T0 rate</x:v>
      </x:c>
      <x:c r="B28" s="10" t="str">
        <x:f>IF(OR(B18="",B18=0),"",B19/B18)</x:f>
      </x:c>
      <x:c r="C28" s="10" t="str">
        <x:f>IF(OR(C18="",C18=0),"",C19/C18)</x:f>
      </x:c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2" customHeight="1">
      <x:c r="A29" s="3" t="str">
        <x:v>T1 rate</x:v>
      </x:c>
      <x:c r="B29" s="10" t="str">
        <x:f>IF(OR(B20="",B20=0),"",B21/B20)</x:f>
      </x:c>
      <x:c r="C29" s="10" t="str">
        <x:f>IF(OR(C20="",C20=0),"",C21/C20)</x:f>
      </x:c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2" customHeight="1">
      <x:c r="A30" s="3" t="str">
        <x:v>T2 ratio</x:v>
      </x:c>
      <x:c r="B30" s="10" t="str">
        <x:f>IF(OR(B25="",B25=0),"",B24/B25)</x:f>
      </x:c>
      <x:c r="C30" s="10" t="str">
        <x:f>IF(OR(C25="",C25=0),"",C24/C25)</x:f>
      </x:c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2" customHeight="1">
      <x:c r="A31" s="3" t="str">
        <x:v>T4 rate</x:v>
      </x:c>
      <x:c r="B31" s="10" t="str">
        <x:f>IF(OR(B19="",B19=0),"",B22/B19)</x:f>
      </x:c>
      <x:c r="C31" s="10" t="str">
        <x:f>IF(OR(C19="",C19=0),"",C22/C19)</x:f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40" customHeight="1">
      <x:c r="A33" s="3" t="str">
        <x:v>Source</x:v>
      </x:c>
      <x:c r="B33" s="3" t="str">
        <x:v>Implementation plan v1.1, 21 Oct 2026; rules clarified in docs/scoring.md.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40" customHeight="1">
      <x:c r="A34" s="3" t="str">
        <x:v>Input cells</x:v>
      </x:c>
      <x:c r="B34" s="3" t="str">
        <x:v>Amber cells are editable. Read the organiser guide before use.</x:v>
      </x:c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40" customHeight="1">
      <x:c r="A35" s="3" t="str">
        <x:v>Capacity</x:v>
      </x:c>
      <x:c r="B35" s="3" t="str">
        <x:v>200 roster rows/event; 30 role slots; 100 effort entries. Do not append past these ranges.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40" customHeight="1">
      <x:c r="A36" s="3" t="str">
        <x:v>Limits</x:v>
      </x:c>
      <x:c r="B36" s="3" t="str">
        <x:v>Synthetic tests validate calculations only. No real event result is included.</x:v>
      </x:c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40" customHeight="1">
      <x:c r="A37" s="3" t="str">
        <x:v>Shortfalls</x:v>
      </x:c>
      <x:c r="B37" s="3" t="str">
        <x:v>Slots shows deadline and actual shortages. Counts are provisional until input checks are resolved.</x:v>
      </x:c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mergeCells>
    <x:mergeCell ref="B33:F33"/>
    <x:mergeCell ref="B34:F34"/>
    <x:mergeCell ref="B35:F35"/>
    <x:mergeCell ref="B36:F36"/>
    <x:mergeCell ref="B37:F37"/>
    <x:mergeCell ref="A1:F1"/>
  </x:mergeCells>
  <x:conditionalFormatting sqref="A1:R205">
    <x:cfRule type="containsText" dxfId="2" priority="1" operator="containsText" text="FAIL"/>
    <x:cfRule type="containsText" dxfId="3" priority="2" operator="containsText" text="BLOCKED"/>
    <x:cfRule type="containsText" dxfId="4" priority="3" operator="containsText" text="INCONCLUSIV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setting</x:v>
      </x:c>
      <x:c r="B1" s="6" t="str">
        <x:v>value</x:v>
      </x:c>
      <x:c r="C1" s="6" t="str">
        <x:v>input_check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3" t="str">
        <x:v>t0_min</x:v>
      </x:c>
      <x:c r="B2" s="7" t="n">
        <x:v>1</x:v>
      </x:c>
      <x:c r="C2" s="3" t="str">
        <x:f>IFERROR(IF(AND(ISNUMBER(B2),B2&gt;=0,B2&lt;=1,B2=1),"OK","CHECK"),"CHECK")</x:f>
        <x:v>OK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2" customHeight="1">
      <x:c r="A3" s="3" t="str">
        <x:v>t1_min</x:v>
      </x:c>
      <x:c r="B3" s="7" t="n">
        <x:v>0.8</x:v>
      </x:c>
      <x:c r="C3" s="3" t="str">
        <x:f>IFERROR(IF(AND(ISNUMBER(B3),B3&gt;=0,B3&lt;=1),"OK","CHECK"),"CHECK")</x:f>
        <x:v>OK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3" t="str">
        <x:v>t2_max_ratio</x:v>
      </x:c>
      <x:c r="B4" s="7" t="n">
        <x:v>0.5</x:v>
      </x:c>
      <x:c r="C4" s="3" t="str">
        <x:f>IFERROR(IF(AND(ISNUMBER(B4),B4&gt;=0,B4&lt;=1),"OK","CHECK"),"CHECK")</x:f>
        <x:v>OK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2" customHeight="1">
      <x:c r="A5" s="3" t="str">
        <x:v>t3_max</x:v>
      </x:c>
      <x:c r="B5" s="7" t="n">
        <x:v>1</x:v>
      </x:c>
      <x:c r="C5" s="3" t="str">
        <x:f>IFERROR(IF(AND(ISNUMBER(B5),B5&gt;=0,MOD(B5,1)=0),"OK","CHECK"),"CHECK")</x:f>
        <x:v>OK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2" customHeight="1">
      <x:c r="A6" s="3" t="str">
        <x:v>t4_min</x:v>
      </x:c>
      <x:c r="B6" s="7" t="n">
        <x:v>0.7</x:v>
      </x:c>
      <x:c r="C6" s="3" t="str">
        <x:f>IFERROR(IF(AND(ISNUMBER(B6),B6&gt;=0,B6&lt;=1),"OK","CHECK"),"CHECK")</x:f>
        <x:v>OK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22" customHeight="1">
      <x:c r="A7" s="3" t="str">
        <x:v>t6_max_gap</x:v>
      </x:c>
      <x:c r="B7" s="7" t="n">
        <x:v>0.15</x:v>
      </x:c>
      <x:c r="C7" s="3" t="str">
        <x:f>IFERROR(IF(AND(ISNUMBER(B7),B7&gt;=0,B7&lt;=1),"OK","CHECK"),"CHECK")</x:f>
        <x:v>OK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ht="22" customHeight="1">
      <x:c r="A8" s="3" t="str">
        <x:v>subgroup_min</x:v>
      </x:c>
      <x:c r="B8" s="7" t="n">
        <x:v>10</x:v>
      </x:c>
      <x:c r="C8" s="3" t="str">
        <x:f>IFERROR(IF(AND(ISNUMBER(B8),B8&gt;=0,MOD(B8,1)=0,B8&gt;0),"OK","CHECK"),"CHECK")</x:f>
        <x:v>OK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ht="22" customHeight="1">
      <x:c r="A9" s="3" t="str">
        <x:v>languages</x:v>
      </x:c>
      <x:c r="B9" s="7" t="str">
        <x:v>EN|ZH|MS</x:v>
      </x:c>
      <x:c r="C9" s="3" t="str">
        <x:f>IF(OR(B9="EN|ZH",B9="EN|MS",B9="ZH|MS",B9="EN|ZH|MS",B9="EN|TA",B9="ZH|TA",B9="EN|ZH|TA",B9="MS|TA",B9="EN|MS|TA",B9="ZH|MS|TA",B9="EN|ZH|MS|TA"),"OK","CHECK")</x:f>
        <x:v>OK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22" customHeight="1">
      <x:c r="A10" s="3" t="str">
        <x:v>thresholds_approved</x:v>
      </x:c>
      <x:c r="B10" s="7" t="str">
        <x:v>pending</x:v>
      </x:c>
      <x:c r="C10" s="3" t="str">
        <x:f>IF(OR(B10="pending",B10="yes",B10="no"),"OK","CHECK")</x:f>
        <x:v>OK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22" customHeight="1">
      <x:c r="A11" s="3" t="str">
        <x:v>operations_approved</x:v>
      </x:c>
      <x:c r="B11" s="7" t="str">
        <x:v>pending</x:v>
      </x:c>
      <x:c r="C11" s="3" t="str">
        <x:f>IF(OR(B11="pending",B11="yes",B11="no"),"OK","CHECK")</x:f>
        <x:v>OK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22" customHeight="1">
      <x:c r="A12" s="3" t="str">
        <x:v>approved_by</x:v>
      </x:c>
      <x:c r="B12" s="7" t="str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22" customHeight="1">
      <x:c r="A13" s="3" t="str">
        <x:v>approved_on</x:v>
      </x:c>
      <x:c r="B13" s="7" t="str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22" customHeight="1">
      <x:c r="A14" s="3" t="str">
        <x:v>protocol_version</x:v>
      </x:c>
      <x:c r="B14" s="7" t="str">
        <x:v>1.2-proposed</x:v>
      </x:c>
      <x:c r="C14" s="3" t="str">
        <x:f>IF(B14="","CHECK","OK")</x:f>
        <x:v>OK</x:v>
      </x:c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45" customHeight="1">
      <x:c r="A17" s="3" t="str">
        <x:v>Proposal only</x:v>
      </x:c>
      <x:c r="B17" s="3" t="str">
        <x:v>Confirm all values and the operational checklist before sends.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4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dataValidations count="2">
    <x:dataValidation type="list" sqref="B10">
      <x:formula1>"pending,yes,no"</x:formula1>
    </x:dataValidation>
    <x:dataValidation type="list" sqref="B11">
      <x:formula1>"pending,yes,no"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event_id</x:v>
      </x:c>
      <x:c r="B1" s="6" t="str">
        <x:v>lane</x:v>
      </x:c>
      <x:c r="C1" s="6" t="str">
        <x:v>event_date</x:v>
      </x:c>
      <x:c r="D1" s="6" t="str">
        <x:v>send_date</x:v>
      </x:c>
      <x:c r="E1" s="6" t="str">
        <x:v>deadline_date</x:v>
      </x:c>
      <x:c r="F1" s="6" t="str">
        <x:v>deadline_time</x:v>
      </x:c>
      <x:c r="G1" s="6" t="str">
        <x:v>intended_count</x:v>
      </x:c>
      <x:c r="H1" s="6" t="str">
        <x:v>roster_frozen</x:v>
      </x:c>
      <x:c r="I1" s="6" t="str">
        <x:v>records_complete</x:v>
      </x:c>
      <x:c r="J1" s="6" t="str">
        <x:v>effort_complete</x:v>
      </x:c>
      <x:c r="K1" s="6" t="str">
        <x:v>baseline_yes</x:v>
      </x:c>
      <x:c r="L1" s="6" t="str">
        <x:v>baseline_attended</x:v>
      </x:c>
      <x:c r="M1" s="6" t="str">
        <x:v>baseline_chased</x:v>
      </x:c>
      <x:c r="N1" s="6" t="str">
        <x:v>baseline_minutes</x:v>
      </x:c>
      <x:c r="O1" s="6" t="str">
        <x:v>operator</x:v>
      </x:c>
      <x:c r="P1" s="6" t="str">
        <x:v>independent</x:v>
      </x:c>
      <x:c r="Q1" s="6" t="str">
        <x:v>no_parallel_list</x:v>
      </x:c>
      <x:c r="R1" s="6" t="str">
        <x:v>input_check</x:v>
      </x:c>
    </x:row>
    <x:row r="2" ht="22" customHeight="1">
      <x:c r="A2" s="7" t="str">
        <x:v>E1</x:v>
      </x:c>
      <x:c r="B2" s="7" t="str">
        <x:v>onePA</x:v>
      </x:c>
      <x:c r="C2" s="8" t="str"/>
      <x:c r="D2" s="8" t="str"/>
      <x:c r="E2" s="8" t="str"/>
      <x:c r="F2" s="8" t="str"/>
      <x:c r="G2" s="7" t="str"/>
      <x:c r="H2" s="7" t="str">
        <x:v>no</x:v>
      </x:c>
      <x:c r="I2" s="7" t="str">
        <x:v>no</x:v>
      </x:c>
      <x:c r="J2" s="7" t="str">
        <x:v>no</x:v>
      </x:c>
      <x:c r="K2" s="7" t="str"/>
      <x:c r="L2" s="7" t="str"/>
      <x:c r="M2" s="7" t="str"/>
      <x:c r="N2" s="7" t="str"/>
      <x:c r="O2" s="7" t="str"/>
      <x:c r="P2" s="7" t="str">
        <x:v>unknown</x:v>
      </x:c>
      <x:c r="Q2" s="7" t="str">
        <x:v>unknown</x:v>
      </x:c>
      <x:c r="R2" s="3" t="str">
        <x:f>IFERROR(IF(AND(A2="E1",B2="onePA",ISNUMBER(DATEVALUE(C2)),ISNUMBER(DATEVALUE(D2)),ISNUMBER(DATEVALUE(E2)),D2&lt;=E2,E2&lt;=C2,LEN(F2)=5,MID(F2,3,1)=":",VALUE(LEFT(F2,2))&gt;=0,VALUE(LEFT(F2,2))&lt;=23,VALUE(RIGHT(F2,2))&gt;=0,VALUE(RIGHT(F2,2))&lt;=59,ISNUMBER(G2),G2=COUNTIF(E1!$F$2:$F$201,"include"),G2&gt;0,H2="yes",I2="yes",J2="yes",AND(ISNUMBER(K2),K2&gt;=0),AND(ISNUMBER(L2),L2&gt;=0),AND(ISNUMBER(M2),M2&gt;=0),AND(ISNUMBER(N2),N2&gt;=0),MOD(K2,1)=0,MOD(L2,1)=0,MOD(M2,1)=0,L2&lt;=K2,M2&lt;=K2,OR(O2="primary",O2="second"),OR(P2="yes",P2="no",P2="unknown"),OR(Q2="yes",Q2="no",Q2="unknown"),COUNTIF(Slots!$A$2:$A$31,A2)&gt;0,COUNTIF(Effort!$B$2:$B$101,A2)&gt;0,OR(SUM(E1!O2:O201)=0,SUMIFS(Effort!$E$2:$E$101,Effort!$B$2:$B$101,A2,Effort!$D$2:$D$101,"nudge")&gt;0)),"OK","CHECK"),"CHECK")</x:f>
        <x:v>CHECK</x:v>
      </x:c>
    </x:row>
    <x:row r="3" ht="22" customHeight="1">
      <x:c r="A3" s="7" t="str">
        <x:v>E2</x:v>
      </x:c>
      <x:c r="B3" s="7" t="str">
        <x:v>ground</x:v>
      </x:c>
      <x:c r="C3" s="8" t="str"/>
      <x:c r="D3" s="8" t="str"/>
      <x:c r="E3" s="8" t="str"/>
      <x:c r="F3" s="8" t="str"/>
      <x:c r="G3" s="7" t="str"/>
      <x:c r="H3" s="7" t="str">
        <x:v>no</x:v>
      </x:c>
      <x:c r="I3" s="7" t="str">
        <x:v>no</x:v>
      </x:c>
      <x:c r="J3" s="7" t="str">
        <x:v>no</x:v>
      </x:c>
      <x:c r="K3" s="7" t="str"/>
      <x:c r="L3" s="7" t="str"/>
      <x:c r="M3" s="7" t="str"/>
      <x:c r="N3" s="7" t="str"/>
      <x:c r="O3" s="7" t="str"/>
      <x:c r="P3" s="7" t="str">
        <x:v>unknown</x:v>
      </x:c>
      <x:c r="Q3" s="7" t="str">
        <x:v>unknown</x:v>
      </x:c>
      <x:c r="R3" s="3" t="str">
        <x:f>IFERROR(IF(AND(A3="E2",B3="ground",ISNUMBER(DATEVALUE(C3)),ISNUMBER(DATEVALUE(D3)),ISNUMBER(DATEVALUE(E3)),D3&lt;=E3,E3&lt;=C3,LEN(F3)=5,MID(F3,3,1)=":",VALUE(LEFT(F3,2))&gt;=0,VALUE(LEFT(F3,2))&lt;=23,VALUE(RIGHT(F3,2))&gt;=0,VALUE(RIGHT(F3,2))&lt;=59,ISNUMBER(G3),G3=COUNTIF(E2!$F$2:$F$201,"include"),G3&gt;0,H3="yes",I3="yes",J3="yes",AND(ISNUMBER(K3),K3&gt;=0),AND(ISNUMBER(L3),L3&gt;=0),AND(ISNUMBER(M3),M3&gt;=0),AND(ISNUMBER(N3),N3&gt;=0),MOD(K3,1)=0,MOD(L3,1)=0,MOD(M3,1)=0,L3&lt;=K3,M3&lt;=K3,OR(O3="primary",O3="second"),OR(P3="yes",P3="no",P3="unknown"),OR(Q3="yes",Q3="no",Q3="unknown"),COUNTIF(Slots!$A$2:$A$31,A3)&gt;0,COUNTIF(Effort!$B$2:$B$101,A3)&gt;0,OR(SUM(E2!O2:O201)=0,SUMIFS(Effort!$E$2:$E$101,Effort!$B$2:$B$101,A3,Effort!$D$2:$D$101,"nudge")&gt;0)),"OK","CHECK"),"CHECK")</x:f>
        <x:v>CHECK</x:v>
      </x:c>
    </x:row>
    <x:row r="4" ht="2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2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22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ht="22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ht="22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22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22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22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22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22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22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22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2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2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2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2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2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2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2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record_id</x:v>
      </x:c>
      <x:c r="B1" s="6" t="str">
        <x:v>contact_key</x:v>
      </x:c>
      <x:c r="C1" s="6" t="str">
        <x:v>slot_id</x:v>
      </x:c>
      <x:c r="D1" s="6" t="str">
        <x:v>language</x:v>
      </x:c>
      <x:c r="E1" s="6" t="str">
        <x:v>experience</x:v>
      </x:c>
      <x:c r="F1" s="6" t="str">
        <x:v>disposition</x:v>
      </x:c>
      <x:c r="G1" s="6" t="str">
        <x:v>duplicate_of</x:v>
      </x:c>
      <x:c r="H1" s="6" t="str">
        <x:v>marked_to_send</x:v>
      </x:c>
      <x:c r="I1" s="6" t="str">
        <x:v>send_status</x:v>
      </x:c>
      <x:c r="J1" s="6" t="str">
        <x:v>run_ref</x:v>
      </x:c>
      <x:c r="K1" s="6" t="str">
        <x:v>reply_at_deadline</x:v>
      </x:c>
      <x:c r="L1" s="6" t="str">
        <x:v>reply_form</x:v>
      </x:c>
      <x:c r="M1" s="6" t="str">
        <x:v>ever_replied</x:v>
      </x:c>
      <x:c r="N1" s="6" t="str">
        <x:v>attended</x:v>
      </x:c>
      <x:c r="O1" s="6" t="str">
        <x:v>nudge_count</x:v>
      </x:c>
      <x:c r="P1" s="6" t="str">
        <x:v>reason_category</x:v>
      </x:c>
      <x:c r="Q1" s="6" t="str">
        <x:v>input_check</x:v>
      </x:c>
      <x:c r="R1" s="3"/>
    </x:row>
    <x:row r="2" ht="22" customHeight="1">
      <x:c r="A2" s="8"/>
      <x:c r="B2" s="8"/>
      <x:c r="C2" s="8"/>
      <x:c r="D2" s="8"/>
      <x:c r="E2" s="7"/>
      <x:c r="F2" s="7"/>
      <x:c r="G2" s="7"/>
      <x:c r="H2" s="7"/>
      <x:c r="I2" s="7"/>
      <x:c r="J2" s="8"/>
      <x:c r="K2" s="7"/>
      <x:c r="L2" s="7"/>
      <x:c r="M2" s="7"/>
      <x:c r="N2" s="7"/>
      <x:c r="O2" s="7"/>
      <x:c r="P2" s="7"/>
      <x:c r="Q2" s="3" t="str">
        <x:f>IF(COUNTA(A2:P2)=0,"",IFERROR(IF(AND(A2&lt;&gt;"",COUNTIF($A$2:$A$201,A2)=1,OR(LEFT(B2,2)="V-",LEFT(B2,4)="SYN-"),LEN(MID(B2,IF(LEFT(B2,2)="V-",3,5),30))&gt;0,ISNUMBER(VALUE(MID(B2,IF(LEFT(B2,2)="V-",3,5),30))),VALUE(MID(B2,IF(LEFT(B2,2)="V-",3,5),30))&gt;=0,MOD(VALUE(MID(B2,IF(LEFT(B2,2)="V-",3,5),30)),1)=0,COUNTIFS(Slots!$A$2:$A$31,"E1",Slots!$B$2:$B$31,C2)=1,ISNUMBER(SEARCH("|"&amp;D2&amp;"|","|"&amp;Settings!$B$9&amp;"|")),OR(E2="regular",E2="first"),OR(F2="include",F2="duplicate",F2="late"),OR(H2="yes",H2="no"),OR(I2="success",I2="failed",I2="unknown",I2="not_sent"),OR(K2="yes",K2="no",K2="none",K2="conflict",K2="unknown"),OR(L2="text",L2="emoji",L2="voice",L2="none",L2="unknown"),OR(M2="yes",M2="no",M2="unknown"),OR(N2="yes",N2="no",N2="unknown"),ISNUMBER(O2),OR(O2=0,O2=1),OR(P2="",P2="soft_yes",P2="forgot",P2="time_place",P2="clash",P2="travel",P2="personal",P2="unknown",P2="silent_but_came"),OR(I2&lt;&gt;"success",AND(J2&lt;&gt;"",COUNTIFS($J$2:$J$201,J2,$I$2:$I$201,"success")=1)),OR(I2&lt;&gt;"not_sent",J2=""),IF(F2="duplicate",AND(COUNTIFS($A$2:$A$201,G2,$B$2:$B$201,B2,$C$2:$C$201,C2,$F$2:$F$201,"include")=1,H2="no",I2="not_sent",K2="none",M2="no",N2="no",O2=0),AND(G2="",N2&lt;&gt;"unknown",COUNTIFS($B$2:$B$201,B2,$F$2:$F$201,"&lt;&gt;duplicate")=1)),IF(F2="include",AND(H2="yes",K2&lt;&gt;"conflict",K2&lt;&gt;"unknown",M2&lt;&gt;"unknown",IF(OR(K2="yes",K2="no"),AND(M2="yes",OR(L2="text",L2="emoji",L2="voice")),L2="none")),TRUE),IF(F2="late",AND(H2="no",I2="not_sent",K2="none",L2="none",O2=0),TRUE)),"OK","CHECK"),"CHECK"))</x:f>
      </x:c>
      <x:c r="R2" s="3"/>
    </x:row>
    <x:row r="3" ht="22" customHeight="1">
      <x:c r="A3" s="8"/>
      <x:c r="B3" s="8"/>
      <x:c r="C3" s="8"/>
      <x:c r="D3" s="8"/>
      <x:c r="E3" s="7"/>
      <x:c r="F3" s="7"/>
      <x:c r="G3" s="7"/>
      <x:c r="H3" s="7"/>
      <x:c r="I3" s="7"/>
      <x:c r="J3" s="8"/>
      <x:c r="K3" s="7"/>
      <x:c r="L3" s="7"/>
      <x:c r="M3" s="7"/>
      <x:c r="N3" s="7"/>
      <x:c r="O3" s="7"/>
      <x:c r="P3" s="7"/>
      <x:c r="Q3" s="3" t="str">
        <x:f>IF(COUNTA(A3:P3)=0,"",IFERROR(IF(AND(A3&lt;&gt;"",COUNTIF($A$2:$A$201,A3)=1,OR(LEFT(B3,2)="V-",LEFT(B3,4)="SYN-"),LEN(MID(B3,IF(LEFT(B3,2)="V-",3,5),30))&gt;0,ISNUMBER(VALUE(MID(B3,IF(LEFT(B3,2)="V-",3,5),30))),VALUE(MID(B3,IF(LEFT(B3,2)="V-",3,5),30))&gt;=0,MOD(VALUE(MID(B3,IF(LEFT(B3,2)="V-",3,5),30)),1)=0,COUNTIFS(Slots!$A$2:$A$31,"E1",Slots!$B$2:$B$31,C3)=1,ISNUMBER(SEARCH("|"&amp;D3&amp;"|","|"&amp;Settings!$B$9&amp;"|")),OR(E3="regular",E3="first"),OR(F3="include",F3="duplicate",F3="late"),OR(H3="yes",H3="no"),OR(I3="success",I3="failed",I3="unknown",I3="not_sent"),OR(K3="yes",K3="no",K3="none",K3="conflict",K3="unknown"),OR(L3="text",L3="emoji",L3="voice",L3="none",L3="unknown"),OR(M3="yes",M3="no",M3="unknown"),OR(N3="yes",N3="no",N3="unknown"),ISNUMBER(O3),OR(O3=0,O3=1),OR(P3="",P3="soft_yes",P3="forgot",P3="time_place",P3="clash",P3="travel",P3="personal",P3="unknown",P3="silent_but_came"),OR(I3&lt;&gt;"success",AND(J3&lt;&gt;"",COUNTIFS($J$2:$J$201,J3,$I$2:$I$201,"success")=1)),OR(I3&lt;&gt;"not_sent",J3=""),IF(F3="duplicate",AND(COUNTIFS($A$2:$A$201,G3,$B$2:$B$201,B3,$C$2:$C$201,C3,$F$2:$F$201,"include")=1,H3="no",I3="not_sent",K3="none",M3="no",N3="no",O3=0),AND(G3="",N3&lt;&gt;"unknown",COUNTIFS($B$2:$B$201,B3,$F$2:$F$201,"&lt;&gt;duplicate")=1)),IF(F3="include",AND(H3="yes",K3&lt;&gt;"conflict",K3&lt;&gt;"unknown",M3&lt;&gt;"unknown",IF(OR(K3="yes",K3="no"),AND(M3="yes",OR(L3="text",L3="emoji",L3="voice")),L3="none")),TRUE),IF(F3="late",AND(H3="no",I3="not_sent",K3="none",L3="none",O3=0),TRUE)),"OK","CHECK"),"CHECK"))</x:f>
      </x:c>
      <x:c r="R3" s="3"/>
    </x:row>
    <x:row r="4" ht="22" customHeight="1">
      <x:c r="A4" s="8"/>
      <x:c r="B4" s="8"/>
      <x:c r="C4" s="8"/>
      <x:c r="D4" s="8"/>
      <x:c r="E4" s="7"/>
      <x:c r="F4" s="7"/>
      <x:c r="G4" s="7"/>
      <x:c r="H4" s="7"/>
      <x:c r="I4" s="7"/>
      <x:c r="J4" s="8"/>
      <x:c r="K4" s="7"/>
      <x:c r="L4" s="7"/>
      <x:c r="M4" s="7"/>
      <x:c r="N4" s="7"/>
      <x:c r="O4" s="7"/>
      <x:c r="P4" s="7"/>
      <x:c r="Q4" s="3" t="str">
        <x:f>IF(COUNTA(A4:P4)=0,"",IFERROR(IF(AND(A4&lt;&gt;"",COUNTIF($A$2:$A$201,A4)=1,OR(LEFT(B4,2)="V-",LEFT(B4,4)="SYN-"),LEN(MID(B4,IF(LEFT(B4,2)="V-",3,5),30))&gt;0,ISNUMBER(VALUE(MID(B4,IF(LEFT(B4,2)="V-",3,5),30))),VALUE(MID(B4,IF(LEFT(B4,2)="V-",3,5),30))&gt;=0,MOD(VALUE(MID(B4,IF(LEFT(B4,2)="V-",3,5),30)),1)=0,COUNTIFS(Slots!$A$2:$A$31,"E1",Slots!$B$2:$B$31,C4)=1,ISNUMBER(SEARCH("|"&amp;D4&amp;"|","|"&amp;Settings!$B$9&amp;"|")),OR(E4="regular",E4="first"),OR(F4="include",F4="duplicate",F4="late"),OR(H4="yes",H4="no"),OR(I4="success",I4="failed",I4="unknown",I4="not_sent"),OR(K4="yes",K4="no",K4="none",K4="conflict",K4="unknown"),OR(L4="text",L4="emoji",L4="voice",L4="none",L4="unknown"),OR(M4="yes",M4="no",M4="unknown"),OR(N4="yes",N4="no",N4="unknown"),ISNUMBER(O4),OR(O4=0,O4=1),OR(P4="",P4="soft_yes",P4="forgot",P4="time_place",P4="clash",P4="travel",P4="personal",P4="unknown",P4="silent_but_came"),OR(I4&lt;&gt;"success",AND(J4&lt;&gt;"",COUNTIFS($J$2:$J$201,J4,$I$2:$I$201,"success")=1)),OR(I4&lt;&gt;"not_sent",J4=""),IF(F4="duplicate",AND(COUNTIFS($A$2:$A$201,G4,$B$2:$B$201,B4,$C$2:$C$201,C4,$F$2:$F$201,"include")=1,H4="no",I4="not_sent",K4="none",M4="no",N4="no",O4=0),AND(G4="",N4&lt;&gt;"unknown",COUNTIFS($B$2:$B$201,B4,$F$2:$F$201,"&lt;&gt;duplicate")=1)),IF(F4="include",AND(H4="yes",K4&lt;&gt;"conflict",K4&lt;&gt;"unknown",M4&lt;&gt;"unknown",IF(OR(K4="yes",K4="no"),AND(M4="yes",OR(L4="text",L4="emoji",L4="voice")),L4="none")),TRUE),IF(F4="late",AND(H4="no",I4="not_sent",K4="none",L4="none",O4=0),TRUE)),"OK","CHECK"),"CHECK"))</x:f>
      </x:c>
      <x:c r="R4" s="3"/>
    </x:row>
    <x:row r="5" ht="22" customHeight="1">
      <x:c r="A5" s="8"/>
      <x:c r="B5" s="8"/>
      <x:c r="C5" s="8"/>
      <x:c r="D5" s="8"/>
      <x:c r="E5" s="7"/>
      <x:c r="F5" s="7"/>
      <x:c r="G5" s="7"/>
      <x:c r="H5" s="7"/>
      <x:c r="I5" s="7"/>
      <x:c r="J5" s="8"/>
      <x:c r="K5" s="7"/>
      <x:c r="L5" s="7"/>
      <x:c r="M5" s="7"/>
      <x:c r="N5" s="7"/>
      <x:c r="O5" s="7"/>
      <x:c r="P5" s="7"/>
      <x:c r="Q5" s="3" t="str">
        <x:f>IF(COUNTA(A5:P5)=0,"",IFERROR(IF(AND(A5&lt;&gt;"",COUNTIF($A$2:$A$201,A5)=1,OR(LEFT(B5,2)="V-",LEFT(B5,4)="SYN-"),LEN(MID(B5,IF(LEFT(B5,2)="V-",3,5),30))&gt;0,ISNUMBER(VALUE(MID(B5,IF(LEFT(B5,2)="V-",3,5),30))),VALUE(MID(B5,IF(LEFT(B5,2)="V-",3,5),30))&gt;=0,MOD(VALUE(MID(B5,IF(LEFT(B5,2)="V-",3,5),30)),1)=0,COUNTIFS(Slots!$A$2:$A$31,"E1",Slots!$B$2:$B$31,C5)=1,ISNUMBER(SEARCH("|"&amp;D5&amp;"|","|"&amp;Settings!$B$9&amp;"|")),OR(E5="regular",E5="first"),OR(F5="include",F5="duplicate",F5="late"),OR(H5="yes",H5="no"),OR(I5="success",I5="failed",I5="unknown",I5="not_sent"),OR(K5="yes",K5="no",K5="none",K5="conflict",K5="unknown"),OR(L5="text",L5="emoji",L5="voice",L5="none",L5="unknown"),OR(M5="yes",M5="no",M5="unknown"),OR(N5="yes",N5="no",N5="unknown"),ISNUMBER(O5),OR(O5=0,O5=1),OR(P5="",P5="soft_yes",P5="forgot",P5="time_place",P5="clash",P5="travel",P5="personal",P5="unknown",P5="silent_but_came"),OR(I5&lt;&gt;"success",AND(J5&lt;&gt;"",COUNTIFS($J$2:$J$201,J5,$I$2:$I$201,"success")=1)),OR(I5&lt;&gt;"not_sent",J5=""),IF(F5="duplicate",AND(COUNTIFS($A$2:$A$201,G5,$B$2:$B$201,B5,$C$2:$C$201,C5,$F$2:$F$201,"include")=1,H5="no",I5="not_sent",K5="none",M5="no",N5="no",O5=0),AND(G5="",N5&lt;&gt;"unknown",COUNTIFS($B$2:$B$201,B5,$F$2:$F$201,"&lt;&gt;duplicate")=1)),IF(F5="include",AND(H5="yes",K5&lt;&gt;"conflict",K5&lt;&gt;"unknown",M5&lt;&gt;"unknown",IF(OR(K5="yes",K5="no"),AND(M5="yes",OR(L5="text",L5="emoji",L5="voice")),L5="none")),TRUE),IF(F5="late",AND(H5="no",I5="not_sent",K5="none",L5="none",O5=0),TRUE)),"OK","CHECK"),"CHECK"))</x:f>
      </x:c>
      <x:c r="R5" s="3"/>
    </x:row>
    <x:row r="6" ht="22" customHeight="1">
      <x:c r="A6" s="8"/>
      <x:c r="B6" s="8"/>
      <x:c r="C6" s="8"/>
      <x:c r="D6" s="8"/>
      <x:c r="E6" s="7"/>
      <x:c r="F6" s="7"/>
      <x:c r="G6" s="7"/>
      <x:c r="H6" s="7"/>
      <x:c r="I6" s="7"/>
      <x:c r="J6" s="8"/>
      <x:c r="K6" s="7"/>
      <x:c r="L6" s="7"/>
      <x:c r="M6" s="7"/>
      <x:c r="N6" s="7"/>
      <x:c r="O6" s="7"/>
      <x:c r="P6" s="7"/>
      <x:c r="Q6" s="3" t="str">
        <x:f>IF(COUNTA(A6:P6)=0,"",IFERROR(IF(AND(A6&lt;&gt;"",COUNTIF($A$2:$A$201,A6)=1,OR(LEFT(B6,2)="V-",LEFT(B6,4)="SYN-"),LEN(MID(B6,IF(LEFT(B6,2)="V-",3,5),30))&gt;0,ISNUMBER(VALUE(MID(B6,IF(LEFT(B6,2)="V-",3,5),30))),VALUE(MID(B6,IF(LEFT(B6,2)="V-",3,5),30))&gt;=0,MOD(VALUE(MID(B6,IF(LEFT(B6,2)="V-",3,5),30)),1)=0,COUNTIFS(Slots!$A$2:$A$31,"E1",Slots!$B$2:$B$31,C6)=1,ISNUMBER(SEARCH("|"&amp;D6&amp;"|","|"&amp;Settings!$B$9&amp;"|")),OR(E6="regular",E6="first"),OR(F6="include",F6="duplicate",F6="late"),OR(H6="yes",H6="no"),OR(I6="success",I6="failed",I6="unknown",I6="not_sent"),OR(K6="yes",K6="no",K6="none",K6="conflict",K6="unknown"),OR(L6="text",L6="emoji",L6="voice",L6="none",L6="unknown"),OR(M6="yes",M6="no",M6="unknown"),OR(N6="yes",N6="no",N6="unknown"),ISNUMBER(O6),OR(O6=0,O6=1),OR(P6="",P6="soft_yes",P6="forgot",P6="time_place",P6="clash",P6="travel",P6="personal",P6="unknown",P6="silent_but_came"),OR(I6&lt;&gt;"success",AND(J6&lt;&gt;"",COUNTIFS($J$2:$J$201,J6,$I$2:$I$201,"success")=1)),OR(I6&lt;&gt;"not_sent",J6=""),IF(F6="duplicate",AND(COUNTIFS($A$2:$A$201,G6,$B$2:$B$201,B6,$C$2:$C$201,C6,$F$2:$F$201,"include")=1,H6="no",I6="not_sent",K6="none",M6="no",N6="no",O6=0),AND(G6="",N6&lt;&gt;"unknown",COUNTIFS($B$2:$B$201,B6,$F$2:$F$201,"&lt;&gt;duplicate")=1)),IF(F6="include",AND(H6="yes",K6&lt;&gt;"conflict",K6&lt;&gt;"unknown",M6&lt;&gt;"unknown",IF(OR(K6="yes",K6="no"),AND(M6="yes",OR(L6="text",L6="emoji",L6="voice")),L6="none")),TRUE),IF(F6="late",AND(H6="no",I6="not_sent",K6="none",L6="none",O6=0),TRUE)),"OK","CHECK"),"CHECK"))</x:f>
      </x:c>
      <x:c r="R6" s="3"/>
    </x:row>
    <x:row r="7" ht="22" customHeight="1">
      <x:c r="A7" s="8"/>
      <x:c r="B7" s="8"/>
      <x:c r="C7" s="8"/>
      <x:c r="D7" s="8"/>
      <x:c r="E7" s="7"/>
      <x:c r="F7" s="7"/>
      <x:c r="G7" s="7"/>
      <x:c r="H7" s="7"/>
      <x:c r="I7" s="7"/>
      <x:c r="J7" s="8"/>
      <x:c r="K7" s="7"/>
      <x:c r="L7" s="7"/>
      <x:c r="M7" s="7"/>
      <x:c r="N7" s="7"/>
      <x:c r="O7" s="7"/>
      <x:c r="P7" s="7"/>
      <x:c r="Q7" s="3" t="str">
        <x:f>IF(COUNTA(A7:P7)=0,"",IFERROR(IF(AND(A7&lt;&gt;"",COUNTIF($A$2:$A$201,A7)=1,OR(LEFT(B7,2)="V-",LEFT(B7,4)="SYN-"),LEN(MID(B7,IF(LEFT(B7,2)="V-",3,5),30))&gt;0,ISNUMBER(VALUE(MID(B7,IF(LEFT(B7,2)="V-",3,5),30))),VALUE(MID(B7,IF(LEFT(B7,2)="V-",3,5),30))&gt;=0,MOD(VALUE(MID(B7,IF(LEFT(B7,2)="V-",3,5),30)),1)=0,COUNTIFS(Slots!$A$2:$A$31,"E1",Slots!$B$2:$B$31,C7)=1,ISNUMBER(SEARCH("|"&amp;D7&amp;"|","|"&amp;Settings!$B$9&amp;"|")),OR(E7="regular",E7="first"),OR(F7="include",F7="duplicate",F7="late"),OR(H7="yes",H7="no"),OR(I7="success",I7="failed",I7="unknown",I7="not_sent"),OR(K7="yes",K7="no",K7="none",K7="conflict",K7="unknown"),OR(L7="text",L7="emoji",L7="voice",L7="none",L7="unknown"),OR(M7="yes",M7="no",M7="unknown"),OR(N7="yes",N7="no",N7="unknown"),ISNUMBER(O7),OR(O7=0,O7=1),OR(P7="",P7="soft_yes",P7="forgot",P7="time_place",P7="clash",P7="travel",P7="personal",P7="unknown",P7="silent_but_came"),OR(I7&lt;&gt;"success",AND(J7&lt;&gt;"",COUNTIFS($J$2:$J$201,J7,$I$2:$I$201,"success")=1)),OR(I7&lt;&gt;"not_sent",J7=""),IF(F7="duplicate",AND(COUNTIFS($A$2:$A$201,G7,$B$2:$B$201,B7,$C$2:$C$201,C7,$F$2:$F$201,"include")=1,H7="no",I7="not_sent",K7="none",M7="no",N7="no",O7=0),AND(G7="",N7&lt;&gt;"unknown",COUNTIFS($B$2:$B$201,B7,$F$2:$F$201,"&lt;&gt;duplicate")=1)),IF(F7="include",AND(H7="yes",K7&lt;&gt;"conflict",K7&lt;&gt;"unknown",M7&lt;&gt;"unknown",IF(OR(K7="yes",K7="no"),AND(M7="yes",OR(L7="text",L7="emoji",L7="voice")),L7="none")),TRUE),IF(F7="late",AND(H7="no",I7="not_sent",K7="none",L7="none",O7=0),TRUE)),"OK","CHECK"),"CHECK"))</x:f>
      </x:c>
      <x:c r="R7" s="3"/>
    </x:row>
    <x:row r="8" ht="22" customHeight="1">
      <x:c r="A8" s="8"/>
      <x:c r="B8" s="8"/>
      <x:c r="C8" s="8"/>
      <x:c r="D8" s="8"/>
      <x:c r="E8" s="7"/>
      <x:c r="F8" s="7"/>
      <x:c r="G8" s="7"/>
      <x:c r="H8" s="7"/>
      <x:c r="I8" s="7"/>
      <x:c r="J8" s="8"/>
      <x:c r="K8" s="7"/>
      <x:c r="L8" s="7"/>
      <x:c r="M8" s="7"/>
      <x:c r="N8" s="7"/>
      <x:c r="O8" s="7"/>
      <x:c r="P8" s="7"/>
      <x:c r="Q8" s="3" t="str">
        <x:f>IF(COUNTA(A8:P8)=0,"",IFERROR(IF(AND(A8&lt;&gt;"",COUNTIF($A$2:$A$201,A8)=1,OR(LEFT(B8,2)="V-",LEFT(B8,4)="SYN-"),LEN(MID(B8,IF(LEFT(B8,2)="V-",3,5),30))&gt;0,ISNUMBER(VALUE(MID(B8,IF(LEFT(B8,2)="V-",3,5),30))),VALUE(MID(B8,IF(LEFT(B8,2)="V-",3,5),30))&gt;=0,MOD(VALUE(MID(B8,IF(LEFT(B8,2)="V-",3,5),30)),1)=0,COUNTIFS(Slots!$A$2:$A$31,"E1",Slots!$B$2:$B$31,C8)=1,ISNUMBER(SEARCH("|"&amp;D8&amp;"|","|"&amp;Settings!$B$9&amp;"|")),OR(E8="regular",E8="first"),OR(F8="include",F8="duplicate",F8="late"),OR(H8="yes",H8="no"),OR(I8="success",I8="failed",I8="unknown",I8="not_sent"),OR(K8="yes",K8="no",K8="none",K8="conflict",K8="unknown"),OR(L8="text",L8="emoji",L8="voice",L8="none",L8="unknown"),OR(M8="yes",M8="no",M8="unknown"),OR(N8="yes",N8="no",N8="unknown"),ISNUMBER(O8),OR(O8=0,O8=1),OR(P8="",P8="soft_yes",P8="forgot",P8="time_place",P8="clash",P8="travel",P8="personal",P8="unknown",P8="silent_but_came"),OR(I8&lt;&gt;"success",AND(J8&lt;&gt;"",COUNTIFS($J$2:$J$201,J8,$I$2:$I$201,"success")=1)),OR(I8&lt;&gt;"not_sent",J8=""),IF(F8="duplicate",AND(COUNTIFS($A$2:$A$201,G8,$B$2:$B$201,B8,$C$2:$C$201,C8,$F$2:$F$201,"include")=1,H8="no",I8="not_sent",K8="none",M8="no",N8="no",O8=0),AND(G8="",N8&lt;&gt;"unknown",COUNTIFS($B$2:$B$201,B8,$F$2:$F$201,"&lt;&gt;duplicate")=1)),IF(F8="include",AND(H8="yes",K8&lt;&gt;"conflict",K8&lt;&gt;"unknown",M8&lt;&gt;"unknown",IF(OR(K8="yes",K8="no"),AND(M8="yes",OR(L8="text",L8="emoji",L8="voice")),L8="none")),TRUE),IF(F8="late",AND(H8="no",I8="not_sent",K8="none",L8="none",O8=0),TRUE)),"OK","CHECK"),"CHECK"))</x:f>
      </x:c>
      <x:c r="R8" s="3"/>
    </x:row>
    <x:row r="9" ht="22" customHeight="1">
      <x:c r="A9" s="8"/>
      <x:c r="B9" s="8"/>
      <x:c r="C9" s="8"/>
      <x:c r="D9" s="8"/>
      <x:c r="E9" s="7"/>
      <x:c r="F9" s="7"/>
      <x:c r="G9" s="7"/>
      <x:c r="H9" s="7"/>
      <x:c r="I9" s="7"/>
      <x:c r="J9" s="8"/>
      <x:c r="K9" s="7"/>
      <x:c r="L9" s="7"/>
      <x:c r="M9" s="7"/>
      <x:c r="N9" s="7"/>
      <x:c r="O9" s="7"/>
      <x:c r="P9" s="7"/>
      <x:c r="Q9" s="3" t="str">
        <x:f>IF(COUNTA(A9:P9)=0,"",IFERROR(IF(AND(A9&lt;&gt;"",COUNTIF($A$2:$A$201,A9)=1,OR(LEFT(B9,2)="V-",LEFT(B9,4)="SYN-"),LEN(MID(B9,IF(LEFT(B9,2)="V-",3,5),30))&gt;0,ISNUMBER(VALUE(MID(B9,IF(LEFT(B9,2)="V-",3,5),30))),VALUE(MID(B9,IF(LEFT(B9,2)="V-",3,5),30))&gt;=0,MOD(VALUE(MID(B9,IF(LEFT(B9,2)="V-",3,5),30)),1)=0,COUNTIFS(Slots!$A$2:$A$31,"E1",Slots!$B$2:$B$31,C9)=1,ISNUMBER(SEARCH("|"&amp;D9&amp;"|","|"&amp;Settings!$B$9&amp;"|")),OR(E9="regular",E9="first"),OR(F9="include",F9="duplicate",F9="late"),OR(H9="yes",H9="no"),OR(I9="success",I9="failed",I9="unknown",I9="not_sent"),OR(K9="yes",K9="no",K9="none",K9="conflict",K9="unknown"),OR(L9="text",L9="emoji",L9="voice",L9="none",L9="unknown"),OR(M9="yes",M9="no",M9="unknown"),OR(N9="yes",N9="no",N9="unknown"),ISNUMBER(O9),OR(O9=0,O9=1),OR(P9="",P9="soft_yes",P9="forgot",P9="time_place",P9="clash",P9="travel",P9="personal",P9="unknown",P9="silent_but_came"),OR(I9&lt;&gt;"success",AND(J9&lt;&gt;"",COUNTIFS($J$2:$J$201,J9,$I$2:$I$201,"success")=1)),OR(I9&lt;&gt;"not_sent",J9=""),IF(F9="duplicate",AND(COUNTIFS($A$2:$A$201,G9,$B$2:$B$201,B9,$C$2:$C$201,C9,$F$2:$F$201,"include")=1,H9="no",I9="not_sent",K9="none",M9="no",N9="no",O9=0),AND(G9="",N9&lt;&gt;"unknown",COUNTIFS($B$2:$B$201,B9,$F$2:$F$201,"&lt;&gt;duplicate")=1)),IF(F9="include",AND(H9="yes",K9&lt;&gt;"conflict",K9&lt;&gt;"unknown",M9&lt;&gt;"unknown",IF(OR(K9="yes",K9="no"),AND(M9="yes",OR(L9="text",L9="emoji",L9="voice")),L9="none")),TRUE),IF(F9="late",AND(H9="no",I9="not_sent",K9="none",L9="none",O9=0),TRUE)),"OK","CHECK"),"CHECK"))</x:f>
      </x:c>
      <x:c r="R9" s="3"/>
    </x:row>
    <x:row r="10" ht="22" customHeight="1">
      <x:c r="A10" s="8"/>
      <x:c r="B10" s="8"/>
      <x:c r="C10" s="8"/>
      <x:c r="D10" s="8"/>
      <x:c r="E10" s="7"/>
      <x:c r="F10" s="7"/>
      <x:c r="G10" s="7"/>
      <x:c r="H10" s="7"/>
      <x:c r="I10" s="7"/>
      <x:c r="J10" s="8"/>
      <x:c r="K10" s="7"/>
      <x:c r="L10" s="7"/>
      <x:c r="M10" s="7"/>
      <x:c r="N10" s="7"/>
      <x:c r="O10" s="7"/>
      <x:c r="P10" s="7"/>
      <x:c r="Q10" s="3" t="str">
        <x:f>IF(COUNTA(A10:P10)=0,"",IFERROR(IF(AND(A10&lt;&gt;"",COUNTIF($A$2:$A$201,A10)=1,OR(LEFT(B10,2)="V-",LEFT(B10,4)="SYN-"),LEN(MID(B10,IF(LEFT(B10,2)="V-",3,5),30))&gt;0,ISNUMBER(VALUE(MID(B10,IF(LEFT(B10,2)="V-",3,5),30))),VALUE(MID(B10,IF(LEFT(B10,2)="V-",3,5),30))&gt;=0,MOD(VALUE(MID(B10,IF(LEFT(B10,2)="V-",3,5),30)),1)=0,COUNTIFS(Slots!$A$2:$A$31,"E1",Slots!$B$2:$B$31,C10)=1,ISNUMBER(SEARCH("|"&amp;D10&amp;"|","|"&amp;Settings!$B$9&amp;"|")),OR(E10="regular",E10="first"),OR(F10="include",F10="duplicate",F10="late"),OR(H10="yes",H10="no"),OR(I10="success",I10="failed",I10="unknown",I10="not_sent"),OR(K10="yes",K10="no",K10="none",K10="conflict",K10="unknown"),OR(L10="text",L10="emoji",L10="voice",L10="none",L10="unknown"),OR(M10="yes",M10="no",M10="unknown"),OR(N10="yes",N10="no",N10="unknown"),ISNUMBER(O10),OR(O10=0,O10=1),OR(P10="",P10="soft_yes",P10="forgot",P10="time_place",P10="clash",P10="travel",P10="personal",P10="unknown",P10="silent_but_came"),OR(I10&lt;&gt;"success",AND(J10&lt;&gt;"",COUNTIFS($J$2:$J$201,J10,$I$2:$I$201,"success")=1)),OR(I10&lt;&gt;"not_sent",J10=""),IF(F10="duplicate",AND(COUNTIFS($A$2:$A$201,G10,$B$2:$B$201,B10,$C$2:$C$201,C10,$F$2:$F$201,"include")=1,H10="no",I10="not_sent",K10="none",M10="no",N10="no",O10=0),AND(G10="",N10&lt;&gt;"unknown",COUNTIFS($B$2:$B$201,B10,$F$2:$F$201,"&lt;&gt;duplicate")=1)),IF(F10="include",AND(H10="yes",K10&lt;&gt;"conflict",K10&lt;&gt;"unknown",M10&lt;&gt;"unknown",IF(OR(K10="yes",K10="no"),AND(M10="yes",OR(L10="text",L10="emoji",L10="voice")),L10="none")),TRUE),IF(F10="late",AND(H10="no",I10="not_sent",K10="none",L10="none",O10=0),TRUE)),"OK","CHECK"),"CHECK"))</x:f>
      </x:c>
      <x:c r="R10" s="3"/>
    </x:row>
    <x:row r="11" ht="22" customHeight="1">
      <x:c r="A11" s="8"/>
      <x:c r="B11" s="8"/>
      <x:c r="C11" s="8"/>
      <x:c r="D11" s="8"/>
      <x:c r="E11" s="7"/>
      <x:c r="F11" s="7"/>
      <x:c r="G11" s="7"/>
      <x:c r="H11" s="7"/>
      <x:c r="I11" s="7"/>
      <x:c r="J11" s="8"/>
      <x:c r="K11" s="7"/>
      <x:c r="L11" s="7"/>
      <x:c r="M11" s="7"/>
      <x:c r="N11" s="7"/>
      <x:c r="O11" s="7"/>
      <x:c r="P11" s="7"/>
      <x:c r="Q11" s="3" t="str">
        <x:f>IF(COUNTA(A11:P11)=0,"",IFERROR(IF(AND(A11&lt;&gt;"",COUNTIF($A$2:$A$201,A11)=1,OR(LEFT(B11,2)="V-",LEFT(B11,4)="SYN-"),LEN(MID(B11,IF(LEFT(B11,2)="V-",3,5),30))&gt;0,ISNUMBER(VALUE(MID(B11,IF(LEFT(B11,2)="V-",3,5),30))),VALUE(MID(B11,IF(LEFT(B11,2)="V-",3,5),30))&gt;=0,MOD(VALUE(MID(B11,IF(LEFT(B11,2)="V-",3,5),30)),1)=0,COUNTIFS(Slots!$A$2:$A$31,"E1",Slots!$B$2:$B$31,C11)=1,ISNUMBER(SEARCH("|"&amp;D11&amp;"|","|"&amp;Settings!$B$9&amp;"|")),OR(E11="regular",E11="first"),OR(F11="include",F11="duplicate",F11="late"),OR(H11="yes",H11="no"),OR(I11="success",I11="failed",I11="unknown",I11="not_sent"),OR(K11="yes",K11="no",K11="none",K11="conflict",K11="unknown"),OR(L11="text",L11="emoji",L11="voice",L11="none",L11="unknown"),OR(M11="yes",M11="no",M11="unknown"),OR(N11="yes",N11="no",N11="unknown"),ISNUMBER(O11),OR(O11=0,O11=1),OR(P11="",P11="soft_yes",P11="forgot",P11="time_place",P11="clash",P11="travel",P11="personal",P11="unknown",P11="silent_but_came"),OR(I11&lt;&gt;"success",AND(J11&lt;&gt;"",COUNTIFS($J$2:$J$201,J11,$I$2:$I$201,"success")=1)),OR(I11&lt;&gt;"not_sent",J11=""),IF(F11="duplicate",AND(COUNTIFS($A$2:$A$201,G11,$B$2:$B$201,B11,$C$2:$C$201,C11,$F$2:$F$201,"include")=1,H11="no",I11="not_sent",K11="none",M11="no",N11="no",O11=0),AND(G11="",N11&lt;&gt;"unknown",COUNTIFS($B$2:$B$201,B11,$F$2:$F$201,"&lt;&gt;duplicate")=1)),IF(F11="include",AND(H11="yes",K11&lt;&gt;"conflict",K11&lt;&gt;"unknown",M11&lt;&gt;"unknown",IF(OR(K11="yes",K11="no"),AND(M11="yes",OR(L11="text",L11="emoji",L11="voice")),L11="none")),TRUE),IF(F11="late",AND(H11="no",I11="not_sent",K11="none",L11="none",O11=0),TRUE)),"OK","CHECK"),"CHECK"))</x:f>
      </x:c>
      <x:c r="R11" s="3"/>
    </x:row>
    <x:row r="12" ht="22" customHeight="1">
      <x:c r="A12" s="8"/>
      <x:c r="B12" s="8"/>
      <x:c r="C12" s="8"/>
      <x:c r="D12" s="8"/>
      <x:c r="E12" s="7"/>
      <x:c r="F12" s="7"/>
      <x:c r="G12" s="7"/>
      <x:c r="H12" s="7"/>
      <x:c r="I12" s="7"/>
      <x:c r="J12" s="8"/>
      <x:c r="K12" s="7"/>
      <x:c r="L12" s="7"/>
      <x:c r="M12" s="7"/>
      <x:c r="N12" s="7"/>
      <x:c r="O12" s="7"/>
      <x:c r="P12" s="7"/>
      <x:c r="Q12" s="3" t="str">
        <x:f>IF(COUNTA(A12:P12)=0,"",IFERROR(IF(AND(A12&lt;&gt;"",COUNTIF($A$2:$A$201,A12)=1,OR(LEFT(B12,2)="V-",LEFT(B12,4)="SYN-"),LEN(MID(B12,IF(LEFT(B12,2)="V-",3,5),30))&gt;0,ISNUMBER(VALUE(MID(B12,IF(LEFT(B12,2)="V-",3,5),30))),VALUE(MID(B12,IF(LEFT(B12,2)="V-",3,5),30))&gt;=0,MOD(VALUE(MID(B12,IF(LEFT(B12,2)="V-",3,5),30)),1)=0,COUNTIFS(Slots!$A$2:$A$31,"E1",Slots!$B$2:$B$31,C12)=1,ISNUMBER(SEARCH("|"&amp;D12&amp;"|","|"&amp;Settings!$B$9&amp;"|")),OR(E12="regular",E12="first"),OR(F12="include",F12="duplicate",F12="late"),OR(H12="yes",H12="no"),OR(I12="success",I12="failed",I12="unknown",I12="not_sent"),OR(K12="yes",K12="no",K12="none",K12="conflict",K12="unknown"),OR(L12="text",L12="emoji",L12="voice",L12="none",L12="unknown"),OR(M12="yes",M12="no",M12="unknown"),OR(N12="yes",N12="no",N12="unknown"),ISNUMBER(O12),OR(O12=0,O12=1),OR(P12="",P12="soft_yes",P12="forgot",P12="time_place",P12="clash",P12="travel",P12="personal",P12="unknown",P12="silent_but_came"),OR(I12&lt;&gt;"success",AND(J12&lt;&gt;"",COUNTIFS($J$2:$J$201,J12,$I$2:$I$201,"success")=1)),OR(I12&lt;&gt;"not_sent",J12=""),IF(F12="duplicate",AND(COUNTIFS($A$2:$A$201,G12,$B$2:$B$201,B12,$C$2:$C$201,C12,$F$2:$F$201,"include")=1,H12="no",I12="not_sent",K12="none",M12="no",N12="no",O12=0),AND(G12="",N12&lt;&gt;"unknown",COUNTIFS($B$2:$B$201,B12,$F$2:$F$201,"&lt;&gt;duplicate")=1)),IF(F12="include",AND(H12="yes",K12&lt;&gt;"conflict",K12&lt;&gt;"unknown",M12&lt;&gt;"unknown",IF(OR(K12="yes",K12="no"),AND(M12="yes",OR(L12="text",L12="emoji",L12="voice")),L12="none")),TRUE),IF(F12="late",AND(H12="no",I12="not_sent",K12="none",L12="none",O12=0),TRUE)),"OK","CHECK"),"CHECK"))</x:f>
      </x:c>
      <x:c r="R12" s="3"/>
    </x:row>
    <x:row r="13" ht="22" customHeight="1">
      <x:c r="A13" s="8"/>
      <x:c r="B13" s="8"/>
      <x:c r="C13" s="8"/>
      <x:c r="D13" s="8"/>
      <x:c r="E13" s="7"/>
      <x:c r="F13" s="7"/>
      <x:c r="G13" s="7"/>
      <x:c r="H13" s="7"/>
      <x:c r="I13" s="7"/>
      <x:c r="J13" s="8"/>
      <x:c r="K13" s="7"/>
      <x:c r="L13" s="7"/>
      <x:c r="M13" s="7"/>
      <x:c r="N13" s="7"/>
      <x:c r="O13" s="7"/>
      <x:c r="P13" s="7"/>
      <x:c r="Q13" s="3" t="str">
        <x:f>IF(COUNTA(A13:P13)=0,"",IFERROR(IF(AND(A13&lt;&gt;"",COUNTIF($A$2:$A$201,A13)=1,OR(LEFT(B13,2)="V-",LEFT(B13,4)="SYN-"),LEN(MID(B13,IF(LEFT(B13,2)="V-",3,5),30))&gt;0,ISNUMBER(VALUE(MID(B13,IF(LEFT(B13,2)="V-",3,5),30))),VALUE(MID(B13,IF(LEFT(B13,2)="V-",3,5),30))&gt;=0,MOD(VALUE(MID(B13,IF(LEFT(B13,2)="V-",3,5),30)),1)=0,COUNTIFS(Slots!$A$2:$A$31,"E1",Slots!$B$2:$B$31,C13)=1,ISNUMBER(SEARCH("|"&amp;D13&amp;"|","|"&amp;Settings!$B$9&amp;"|")),OR(E13="regular",E13="first"),OR(F13="include",F13="duplicate",F13="late"),OR(H13="yes",H13="no"),OR(I13="success",I13="failed",I13="unknown",I13="not_sent"),OR(K13="yes",K13="no",K13="none",K13="conflict",K13="unknown"),OR(L13="text",L13="emoji",L13="voice",L13="none",L13="unknown"),OR(M13="yes",M13="no",M13="unknown"),OR(N13="yes",N13="no",N13="unknown"),ISNUMBER(O13),OR(O13=0,O13=1),OR(P13="",P13="soft_yes",P13="forgot",P13="time_place",P13="clash",P13="travel",P13="personal",P13="unknown",P13="silent_but_came"),OR(I13&lt;&gt;"success",AND(J13&lt;&gt;"",COUNTIFS($J$2:$J$201,J13,$I$2:$I$201,"success")=1)),OR(I13&lt;&gt;"not_sent",J13=""),IF(F13="duplicate",AND(COUNTIFS($A$2:$A$201,G13,$B$2:$B$201,B13,$C$2:$C$201,C13,$F$2:$F$201,"include")=1,H13="no",I13="not_sent",K13="none",M13="no",N13="no",O13=0),AND(G13="",N13&lt;&gt;"unknown",COUNTIFS($B$2:$B$201,B13,$F$2:$F$201,"&lt;&gt;duplicate")=1)),IF(F13="include",AND(H13="yes",K13&lt;&gt;"conflict",K13&lt;&gt;"unknown",M13&lt;&gt;"unknown",IF(OR(K13="yes",K13="no"),AND(M13="yes",OR(L13="text",L13="emoji",L13="voice")),L13="none")),TRUE),IF(F13="late",AND(H13="no",I13="not_sent",K13="none",L13="none",O13=0),TRUE)),"OK","CHECK"),"CHECK"))</x:f>
      </x:c>
      <x:c r="R13" s="3"/>
    </x:row>
    <x:row r="14" ht="22" customHeight="1">
      <x:c r="A14" s="8"/>
      <x:c r="B14" s="8"/>
      <x:c r="C14" s="8"/>
      <x:c r="D14" s="8"/>
      <x:c r="E14" s="7"/>
      <x:c r="F14" s="7"/>
      <x:c r="G14" s="7"/>
      <x:c r="H14" s="7"/>
      <x:c r="I14" s="7"/>
      <x:c r="J14" s="8"/>
      <x:c r="K14" s="7"/>
      <x:c r="L14" s="7"/>
      <x:c r="M14" s="7"/>
      <x:c r="N14" s="7"/>
      <x:c r="O14" s="7"/>
      <x:c r="P14" s="7"/>
      <x:c r="Q14" s="3" t="str">
        <x:f>IF(COUNTA(A14:P14)=0,"",IFERROR(IF(AND(A14&lt;&gt;"",COUNTIF($A$2:$A$201,A14)=1,OR(LEFT(B14,2)="V-",LEFT(B14,4)="SYN-"),LEN(MID(B14,IF(LEFT(B14,2)="V-",3,5),30))&gt;0,ISNUMBER(VALUE(MID(B14,IF(LEFT(B14,2)="V-",3,5),30))),VALUE(MID(B14,IF(LEFT(B14,2)="V-",3,5),30))&gt;=0,MOD(VALUE(MID(B14,IF(LEFT(B14,2)="V-",3,5),30)),1)=0,COUNTIFS(Slots!$A$2:$A$31,"E1",Slots!$B$2:$B$31,C14)=1,ISNUMBER(SEARCH("|"&amp;D14&amp;"|","|"&amp;Settings!$B$9&amp;"|")),OR(E14="regular",E14="first"),OR(F14="include",F14="duplicate",F14="late"),OR(H14="yes",H14="no"),OR(I14="success",I14="failed",I14="unknown",I14="not_sent"),OR(K14="yes",K14="no",K14="none",K14="conflict",K14="unknown"),OR(L14="text",L14="emoji",L14="voice",L14="none",L14="unknown"),OR(M14="yes",M14="no",M14="unknown"),OR(N14="yes",N14="no",N14="unknown"),ISNUMBER(O14),OR(O14=0,O14=1),OR(P14="",P14="soft_yes",P14="forgot",P14="time_place",P14="clash",P14="travel",P14="personal",P14="unknown",P14="silent_but_came"),OR(I14&lt;&gt;"success",AND(J14&lt;&gt;"",COUNTIFS($J$2:$J$201,J14,$I$2:$I$201,"success")=1)),OR(I14&lt;&gt;"not_sent",J14=""),IF(F14="duplicate",AND(COUNTIFS($A$2:$A$201,G14,$B$2:$B$201,B14,$C$2:$C$201,C14,$F$2:$F$201,"include")=1,H14="no",I14="not_sent",K14="none",M14="no",N14="no",O14=0),AND(G14="",N14&lt;&gt;"unknown",COUNTIFS($B$2:$B$201,B14,$F$2:$F$201,"&lt;&gt;duplicate")=1)),IF(F14="include",AND(H14="yes",K14&lt;&gt;"conflict",K14&lt;&gt;"unknown",M14&lt;&gt;"unknown",IF(OR(K14="yes",K14="no"),AND(M14="yes",OR(L14="text",L14="emoji",L14="voice")),L14="none")),TRUE),IF(F14="late",AND(H14="no",I14="not_sent",K14="none",L14="none",O14=0),TRUE)),"OK","CHECK"),"CHECK"))</x:f>
      </x:c>
      <x:c r="R14" s="3"/>
    </x:row>
    <x:row r="15" ht="22" customHeight="1">
      <x:c r="A15" s="8"/>
      <x:c r="B15" s="8"/>
      <x:c r="C15" s="8"/>
      <x:c r="D15" s="8"/>
      <x:c r="E15" s="7"/>
      <x:c r="F15" s="7"/>
      <x:c r="G15" s="7"/>
      <x:c r="H15" s="7"/>
      <x:c r="I15" s="7"/>
      <x:c r="J15" s="8"/>
      <x:c r="K15" s="7"/>
      <x:c r="L15" s="7"/>
      <x:c r="M15" s="7"/>
      <x:c r="N15" s="7"/>
      <x:c r="O15" s="7"/>
      <x:c r="P15" s="7"/>
      <x:c r="Q15" s="3" t="str">
        <x:f>IF(COUNTA(A15:P15)=0,"",IFERROR(IF(AND(A15&lt;&gt;"",COUNTIF($A$2:$A$201,A15)=1,OR(LEFT(B15,2)="V-",LEFT(B15,4)="SYN-"),LEN(MID(B15,IF(LEFT(B15,2)="V-",3,5),30))&gt;0,ISNUMBER(VALUE(MID(B15,IF(LEFT(B15,2)="V-",3,5),30))),VALUE(MID(B15,IF(LEFT(B15,2)="V-",3,5),30))&gt;=0,MOD(VALUE(MID(B15,IF(LEFT(B15,2)="V-",3,5),30)),1)=0,COUNTIFS(Slots!$A$2:$A$31,"E1",Slots!$B$2:$B$31,C15)=1,ISNUMBER(SEARCH("|"&amp;D15&amp;"|","|"&amp;Settings!$B$9&amp;"|")),OR(E15="regular",E15="first"),OR(F15="include",F15="duplicate",F15="late"),OR(H15="yes",H15="no"),OR(I15="success",I15="failed",I15="unknown",I15="not_sent"),OR(K15="yes",K15="no",K15="none",K15="conflict",K15="unknown"),OR(L15="text",L15="emoji",L15="voice",L15="none",L15="unknown"),OR(M15="yes",M15="no",M15="unknown"),OR(N15="yes",N15="no",N15="unknown"),ISNUMBER(O15),OR(O15=0,O15=1),OR(P15="",P15="soft_yes",P15="forgot",P15="time_place",P15="clash",P15="travel",P15="personal",P15="unknown",P15="silent_but_came"),OR(I15&lt;&gt;"success",AND(J15&lt;&gt;"",COUNTIFS($J$2:$J$201,J15,$I$2:$I$201,"success")=1)),OR(I15&lt;&gt;"not_sent",J15=""),IF(F15="duplicate",AND(COUNTIFS($A$2:$A$201,G15,$B$2:$B$201,B15,$C$2:$C$201,C15,$F$2:$F$201,"include")=1,H15="no",I15="not_sent",K15="none",M15="no",N15="no",O15=0),AND(G15="",N15&lt;&gt;"unknown",COUNTIFS($B$2:$B$201,B15,$F$2:$F$201,"&lt;&gt;duplicate")=1)),IF(F15="include",AND(H15="yes",K15&lt;&gt;"conflict",K15&lt;&gt;"unknown",M15&lt;&gt;"unknown",IF(OR(K15="yes",K15="no"),AND(M15="yes",OR(L15="text",L15="emoji",L15="voice")),L15="none")),TRUE),IF(F15="late",AND(H15="no",I15="not_sent",K15="none",L15="none",O15=0),TRUE)),"OK","CHECK"),"CHECK"))</x:f>
      </x:c>
      <x:c r="R15" s="3"/>
    </x:row>
    <x:row r="16" ht="22" customHeight="1">
      <x:c r="A16" s="8"/>
      <x:c r="B16" s="8"/>
      <x:c r="C16" s="8"/>
      <x:c r="D16" s="8"/>
      <x:c r="E16" s="7"/>
      <x:c r="F16" s="7"/>
      <x:c r="G16" s="7"/>
      <x:c r="H16" s="7"/>
      <x:c r="I16" s="7"/>
      <x:c r="J16" s="8"/>
      <x:c r="K16" s="7"/>
      <x:c r="L16" s="7"/>
      <x:c r="M16" s="7"/>
      <x:c r="N16" s="7"/>
      <x:c r="O16" s="7"/>
      <x:c r="P16" s="7"/>
      <x:c r="Q16" s="3" t="str">
        <x:f>IF(COUNTA(A16:P16)=0,"",IFERROR(IF(AND(A16&lt;&gt;"",COUNTIF($A$2:$A$201,A16)=1,OR(LEFT(B16,2)="V-",LEFT(B16,4)="SYN-"),LEN(MID(B16,IF(LEFT(B16,2)="V-",3,5),30))&gt;0,ISNUMBER(VALUE(MID(B16,IF(LEFT(B16,2)="V-",3,5),30))),VALUE(MID(B16,IF(LEFT(B16,2)="V-",3,5),30))&gt;=0,MOD(VALUE(MID(B16,IF(LEFT(B16,2)="V-",3,5),30)),1)=0,COUNTIFS(Slots!$A$2:$A$31,"E1",Slots!$B$2:$B$31,C16)=1,ISNUMBER(SEARCH("|"&amp;D16&amp;"|","|"&amp;Settings!$B$9&amp;"|")),OR(E16="regular",E16="first"),OR(F16="include",F16="duplicate",F16="late"),OR(H16="yes",H16="no"),OR(I16="success",I16="failed",I16="unknown",I16="not_sent"),OR(K16="yes",K16="no",K16="none",K16="conflict",K16="unknown"),OR(L16="text",L16="emoji",L16="voice",L16="none",L16="unknown"),OR(M16="yes",M16="no",M16="unknown"),OR(N16="yes",N16="no",N16="unknown"),ISNUMBER(O16),OR(O16=0,O16=1),OR(P16="",P16="soft_yes",P16="forgot",P16="time_place",P16="clash",P16="travel",P16="personal",P16="unknown",P16="silent_but_came"),OR(I16&lt;&gt;"success",AND(J16&lt;&gt;"",COUNTIFS($J$2:$J$201,J16,$I$2:$I$201,"success")=1)),OR(I16&lt;&gt;"not_sent",J16=""),IF(F16="duplicate",AND(COUNTIFS($A$2:$A$201,G16,$B$2:$B$201,B16,$C$2:$C$201,C16,$F$2:$F$201,"include")=1,H16="no",I16="not_sent",K16="none",M16="no",N16="no",O16=0),AND(G16="",N16&lt;&gt;"unknown",COUNTIFS($B$2:$B$201,B16,$F$2:$F$201,"&lt;&gt;duplicate")=1)),IF(F16="include",AND(H16="yes",K16&lt;&gt;"conflict",K16&lt;&gt;"unknown",M16&lt;&gt;"unknown",IF(OR(K16="yes",K16="no"),AND(M16="yes",OR(L16="text",L16="emoji",L16="voice")),L16="none")),TRUE),IF(F16="late",AND(H16="no",I16="not_sent",K16="none",L16="none",O16=0),TRUE)),"OK","CHECK"),"CHECK"))</x:f>
      </x:c>
      <x:c r="R16" s="3"/>
    </x:row>
    <x:row r="17" ht="22" customHeight="1">
      <x:c r="A17" s="8"/>
      <x:c r="B17" s="8"/>
      <x:c r="C17" s="8"/>
      <x:c r="D17" s="8"/>
      <x:c r="E17" s="7"/>
      <x:c r="F17" s="7"/>
      <x:c r="G17" s="7"/>
      <x:c r="H17" s="7"/>
      <x:c r="I17" s="7"/>
      <x:c r="J17" s="8"/>
      <x:c r="K17" s="7"/>
      <x:c r="L17" s="7"/>
      <x:c r="M17" s="7"/>
      <x:c r="N17" s="7"/>
      <x:c r="O17" s="7"/>
      <x:c r="P17" s="7"/>
      <x:c r="Q17" s="3" t="str">
        <x:f>IF(COUNTA(A17:P17)=0,"",IFERROR(IF(AND(A17&lt;&gt;"",COUNTIF($A$2:$A$201,A17)=1,OR(LEFT(B17,2)="V-",LEFT(B17,4)="SYN-"),LEN(MID(B17,IF(LEFT(B17,2)="V-",3,5),30))&gt;0,ISNUMBER(VALUE(MID(B17,IF(LEFT(B17,2)="V-",3,5),30))),VALUE(MID(B17,IF(LEFT(B17,2)="V-",3,5),30))&gt;=0,MOD(VALUE(MID(B17,IF(LEFT(B17,2)="V-",3,5),30)),1)=0,COUNTIFS(Slots!$A$2:$A$31,"E1",Slots!$B$2:$B$31,C17)=1,ISNUMBER(SEARCH("|"&amp;D17&amp;"|","|"&amp;Settings!$B$9&amp;"|")),OR(E17="regular",E17="first"),OR(F17="include",F17="duplicate",F17="late"),OR(H17="yes",H17="no"),OR(I17="success",I17="failed",I17="unknown",I17="not_sent"),OR(K17="yes",K17="no",K17="none",K17="conflict",K17="unknown"),OR(L17="text",L17="emoji",L17="voice",L17="none",L17="unknown"),OR(M17="yes",M17="no",M17="unknown"),OR(N17="yes",N17="no",N17="unknown"),ISNUMBER(O17),OR(O17=0,O17=1),OR(P17="",P17="soft_yes",P17="forgot",P17="time_place",P17="clash",P17="travel",P17="personal",P17="unknown",P17="silent_but_came"),OR(I17&lt;&gt;"success",AND(J17&lt;&gt;"",COUNTIFS($J$2:$J$201,J17,$I$2:$I$201,"success")=1)),OR(I17&lt;&gt;"not_sent",J17=""),IF(F17="duplicate",AND(COUNTIFS($A$2:$A$201,G17,$B$2:$B$201,B17,$C$2:$C$201,C17,$F$2:$F$201,"include")=1,H17="no",I17="not_sent",K17="none",M17="no",N17="no",O17=0),AND(G17="",N17&lt;&gt;"unknown",COUNTIFS($B$2:$B$201,B17,$F$2:$F$201,"&lt;&gt;duplicate")=1)),IF(F17="include",AND(H17="yes",K17&lt;&gt;"conflict",K17&lt;&gt;"unknown",M17&lt;&gt;"unknown",IF(OR(K17="yes",K17="no"),AND(M17="yes",OR(L17="text",L17="emoji",L17="voice")),L17="none")),TRUE),IF(F17="late",AND(H17="no",I17="not_sent",K17="none",L17="none",O17=0),TRUE)),"OK","CHECK"),"CHECK"))</x:f>
      </x:c>
      <x:c r="R17" s="3"/>
    </x:row>
    <x:row r="18" ht="22" customHeight="1">
      <x:c r="A18" s="8"/>
      <x:c r="B18" s="8"/>
      <x:c r="C18" s="8"/>
      <x:c r="D18" s="8"/>
      <x:c r="E18" s="7"/>
      <x:c r="F18" s="7"/>
      <x:c r="G18" s="7"/>
      <x:c r="H18" s="7"/>
      <x:c r="I18" s="7"/>
      <x:c r="J18" s="8"/>
      <x:c r="K18" s="7"/>
      <x:c r="L18" s="7"/>
      <x:c r="M18" s="7"/>
      <x:c r="N18" s="7"/>
      <x:c r="O18" s="7"/>
      <x:c r="P18" s="7"/>
      <x:c r="Q18" s="3" t="str">
        <x:f>IF(COUNTA(A18:P18)=0,"",IFERROR(IF(AND(A18&lt;&gt;"",COUNTIF($A$2:$A$201,A18)=1,OR(LEFT(B18,2)="V-",LEFT(B18,4)="SYN-"),LEN(MID(B18,IF(LEFT(B18,2)="V-",3,5),30))&gt;0,ISNUMBER(VALUE(MID(B18,IF(LEFT(B18,2)="V-",3,5),30))),VALUE(MID(B18,IF(LEFT(B18,2)="V-",3,5),30))&gt;=0,MOD(VALUE(MID(B18,IF(LEFT(B18,2)="V-",3,5),30)),1)=0,COUNTIFS(Slots!$A$2:$A$31,"E1",Slots!$B$2:$B$31,C18)=1,ISNUMBER(SEARCH("|"&amp;D18&amp;"|","|"&amp;Settings!$B$9&amp;"|")),OR(E18="regular",E18="first"),OR(F18="include",F18="duplicate",F18="late"),OR(H18="yes",H18="no"),OR(I18="success",I18="failed",I18="unknown",I18="not_sent"),OR(K18="yes",K18="no",K18="none",K18="conflict",K18="unknown"),OR(L18="text",L18="emoji",L18="voice",L18="none",L18="unknown"),OR(M18="yes",M18="no",M18="unknown"),OR(N18="yes",N18="no",N18="unknown"),ISNUMBER(O18),OR(O18=0,O18=1),OR(P18="",P18="soft_yes",P18="forgot",P18="time_place",P18="clash",P18="travel",P18="personal",P18="unknown",P18="silent_but_came"),OR(I18&lt;&gt;"success",AND(J18&lt;&gt;"",COUNTIFS($J$2:$J$201,J18,$I$2:$I$201,"success")=1)),OR(I18&lt;&gt;"not_sent",J18=""),IF(F18="duplicate",AND(COUNTIFS($A$2:$A$201,G18,$B$2:$B$201,B18,$C$2:$C$201,C18,$F$2:$F$201,"include")=1,H18="no",I18="not_sent",K18="none",M18="no",N18="no",O18=0),AND(G18="",N18&lt;&gt;"unknown",COUNTIFS($B$2:$B$201,B18,$F$2:$F$201,"&lt;&gt;duplicate")=1)),IF(F18="include",AND(H18="yes",K18&lt;&gt;"conflict",K18&lt;&gt;"unknown",M18&lt;&gt;"unknown",IF(OR(K18="yes",K18="no"),AND(M18="yes",OR(L18="text",L18="emoji",L18="voice")),L18="none")),TRUE),IF(F18="late",AND(H18="no",I18="not_sent",K18="none",L18="none",O18=0),TRUE)),"OK","CHECK"),"CHECK"))</x:f>
      </x:c>
      <x:c r="R18" s="3"/>
    </x:row>
    <x:row r="19" ht="22" customHeight="1">
      <x:c r="A19" s="8"/>
      <x:c r="B19" s="8"/>
      <x:c r="C19" s="8"/>
      <x:c r="D19" s="8"/>
      <x:c r="E19" s="7"/>
      <x:c r="F19" s="7"/>
      <x:c r="G19" s="7"/>
      <x:c r="H19" s="7"/>
      <x:c r="I19" s="7"/>
      <x:c r="J19" s="8"/>
      <x:c r="K19" s="7"/>
      <x:c r="L19" s="7"/>
      <x:c r="M19" s="7"/>
      <x:c r="N19" s="7"/>
      <x:c r="O19" s="7"/>
      <x:c r="P19" s="7"/>
      <x:c r="Q19" s="3" t="str">
        <x:f>IF(COUNTA(A19:P19)=0,"",IFERROR(IF(AND(A19&lt;&gt;"",COUNTIF($A$2:$A$201,A19)=1,OR(LEFT(B19,2)="V-",LEFT(B19,4)="SYN-"),LEN(MID(B19,IF(LEFT(B19,2)="V-",3,5),30))&gt;0,ISNUMBER(VALUE(MID(B19,IF(LEFT(B19,2)="V-",3,5),30))),VALUE(MID(B19,IF(LEFT(B19,2)="V-",3,5),30))&gt;=0,MOD(VALUE(MID(B19,IF(LEFT(B19,2)="V-",3,5),30)),1)=0,COUNTIFS(Slots!$A$2:$A$31,"E1",Slots!$B$2:$B$31,C19)=1,ISNUMBER(SEARCH("|"&amp;D19&amp;"|","|"&amp;Settings!$B$9&amp;"|")),OR(E19="regular",E19="first"),OR(F19="include",F19="duplicate",F19="late"),OR(H19="yes",H19="no"),OR(I19="success",I19="failed",I19="unknown",I19="not_sent"),OR(K19="yes",K19="no",K19="none",K19="conflict",K19="unknown"),OR(L19="text",L19="emoji",L19="voice",L19="none",L19="unknown"),OR(M19="yes",M19="no",M19="unknown"),OR(N19="yes",N19="no",N19="unknown"),ISNUMBER(O19),OR(O19=0,O19=1),OR(P19="",P19="soft_yes",P19="forgot",P19="time_place",P19="clash",P19="travel",P19="personal",P19="unknown",P19="silent_but_came"),OR(I19&lt;&gt;"success",AND(J19&lt;&gt;"",COUNTIFS($J$2:$J$201,J19,$I$2:$I$201,"success")=1)),OR(I19&lt;&gt;"not_sent",J19=""),IF(F19="duplicate",AND(COUNTIFS($A$2:$A$201,G19,$B$2:$B$201,B19,$C$2:$C$201,C19,$F$2:$F$201,"include")=1,H19="no",I19="not_sent",K19="none",M19="no",N19="no",O19=0),AND(G19="",N19&lt;&gt;"unknown",COUNTIFS($B$2:$B$201,B19,$F$2:$F$201,"&lt;&gt;duplicate")=1)),IF(F19="include",AND(H19="yes",K19&lt;&gt;"conflict",K19&lt;&gt;"unknown",M19&lt;&gt;"unknown",IF(OR(K19="yes",K19="no"),AND(M19="yes",OR(L19="text",L19="emoji",L19="voice")),L19="none")),TRUE),IF(F19="late",AND(H19="no",I19="not_sent",K19="none",L19="none",O19=0),TRUE)),"OK","CHECK"),"CHECK"))</x:f>
      </x:c>
      <x:c r="R19" s="3"/>
    </x:row>
    <x:row r="20" ht="22" customHeight="1">
      <x:c r="A20" s="8"/>
      <x:c r="B20" s="8"/>
      <x:c r="C20" s="8"/>
      <x:c r="D20" s="8"/>
      <x:c r="E20" s="7"/>
      <x:c r="F20" s="7"/>
      <x:c r="G20" s="7"/>
      <x:c r="H20" s="7"/>
      <x:c r="I20" s="7"/>
      <x:c r="J20" s="8"/>
      <x:c r="K20" s="7"/>
      <x:c r="L20" s="7"/>
      <x:c r="M20" s="7"/>
      <x:c r="N20" s="7"/>
      <x:c r="O20" s="7"/>
      <x:c r="P20" s="7"/>
      <x:c r="Q20" s="3" t="str">
        <x:f>IF(COUNTA(A20:P20)=0,"",IFERROR(IF(AND(A20&lt;&gt;"",COUNTIF($A$2:$A$201,A20)=1,OR(LEFT(B20,2)="V-",LEFT(B20,4)="SYN-"),LEN(MID(B20,IF(LEFT(B20,2)="V-",3,5),30))&gt;0,ISNUMBER(VALUE(MID(B20,IF(LEFT(B20,2)="V-",3,5),30))),VALUE(MID(B20,IF(LEFT(B20,2)="V-",3,5),30))&gt;=0,MOD(VALUE(MID(B20,IF(LEFT(B20,2)="V-",3,5),30)),1)=0,COUNTIFS(Slots!$A$2:$A$31,"E1",Slots!$B$2:$B$31,C20)=1,ISNUMBER(SEARCH("|"&amp;D20&amp;"|","|"&amp;Settings!$B$9&amp;"|")),OR(E20="regular",E20="first"),OR(F20="include",F20="duplicate",F20="late"),OR(H20="yes",H20="no"),OR(I20="success",I20="failed",I20="unknown",I20="not_sent"),OR(K20="yes",K20="no",K20="none",K20="conflict",K20="unknown"),OR(L20="text",L20="emoji",L20="voice",L20="none",L20="unknown"),OR(M20="yes",M20="no",M20="unknown"),OR(N20="yes",N20="no",N20="unknown"),ISNUMBER(O20),OR(O20=0,O20=1),OR(P20="",P20="soft_yes",P20="forgot",P20="time_place",P20="clash",P20="travel",P20="personal",P20="unknown",P20="silent_but_came"),OR(I20&lt;&gt;"success",AND(J20&lt;&gt;"",COUNTIFS($J$2:$J$201,J20,$I$2:$I$201,"success")=1)),OR(I20&lt;&gt;"not_sent",J20=""),IF(F20="duplicate",AND(COUNTIFS($A$2:$A$201,G20,$B$2:$B$201,B20,$C$2:$C$201,C20,$F$2:$F$201,"include")=1,H20="no",I20="not_sent",K20="none",M20="no",N20="no",O20=0),AND(G20="",N20&lt;&gt;"unknown",COUNTIFS($B$2:$B$201,B20,$F$2:$F$201,"&lt;&gt;duplicate")=1)),IF(F20="include",AND(H20="yes",K20&lt;&gt;"conflict",K20&lt;&gt;"unknown",M20&lt;&gt;"unknown",IF(OR(K20="yes",K20="no"),AND(M20="yes",OR(L20="text",L20="emoji",L20="voice")),L20="none")),TRUE),IF(F20="late",AND(H20="no",I20="not_sent",K20="none",L20="none",O20=0),TRUE)),"OK","CHECK"),"CHECK"))</x:f>
      </x:c>
      <x:c r="R20" s="3"/>
    </x:row>
    <x:row r="21" ht="22" customHeight="1">
      <x:c r="A21" s="8"/>
      <x:c r="B21" s="8"/>
      <x:c r="C21" s="8"/>
      <x:c r="D21" s="8"/>
      <x:c r="E21" s="7"/>
      <x:c r="F21" s="7"/>
      <x:c r="G21" s="7"/>
      <x:c r="H21" s="7"/>
      <x:c r="I21" s="7"/>
      <x:c r="J21" s="8"/>
      <x:c r="K21" s="7"/>
      <x:c r="L21" s="7"/>
      <x:c r="M21" s="7"/>
      <x:c r="N21" s="7"/>
      <x:c r="O21" s="7"/>
      <x:c r="P21" s="7"/>
      <x:c r="Q21" s="3" t="str">
        <x:f>IF(COUNTA(A21:P21)=0,"",IFERROR(IF(AND(A21&lt;&gt;"",COUNTIF($A$2:$A$201,A21)=1,OR(LEFT(B21,2)="V-",LEFT(B21,4)="SYN-"),LEN(MID(B21,IF(LEFT(B21,2)="V-",3,5),30))&gt;0,ISNUMBER(VALUE(MID(B21,IF(LEFT(B21,2)="V-",3,5),30))),VALUE(MID(B21,IF(LEFT(B21,2)="V-",3,5),30))&gt;=0,MOD(VALUE(MID(B21,IF(LEFT(B21,2)="V-",3,5),30)),1)=0,COUNTIFS(Slots!$A$2:$A$31,"E1",Slots!$B$2:$B$31,C21)=1,ISNUMBER(SEARCH("|"&amp;D21&amp;"|","|"&amp;Settings!$B$9&amp;"|")),OR(E21="regular",E21="first"),OR(F21="include",F21="duplicate",F21="late"),OR(H21="yes",H21="no"),OR(I21="success",I21="failed",I21="unknown",I21="not_sent"),OR(K21="yes",K21="no",K21="none",K21="conflict",K21="unknown"),OR(L21="text",L21="emoji",L21="voice",L21="none",L21="unknown"),OR(M21="yes",M21="no",M21="unknown"),OR(N21="yes",N21="no",N21="unknown"),ISNUMBER(O21),OR(O21=0,O21=1),OR(P21="",P21="soft_yes",P21="forgot",P21="time_place",P21="clash",P21="travel",P21="personal",P21="unknown",P21="silent_but_came"),OR(I21&lt;&gt;"success",AND(J21&lt;&gt;"",COUNTIFS($J$2:$J$201,J21,$I$2:$I$201,"success")=1)),OR(I21&lt;&gt;"not_sent",J21=""),IF(F21="duplicate",AND(COUNTIFS($A$2:$A$201,G21,$B$2:$B$201,B21,$C$2:$C$201,C21,$F$2:$F$201,"include")=1,H21="no",I21="not_sent",K21="none",M21="no",N21="no",O21=0),AND(G21="",N21&lt;&gt;"unknown",COUNTIFS($B$2:$B$201,B21,$F$2:$F$201,"&lt;&gt;duplicate")=1)),IF(F21="include",AND(H21="yes",K21&lt;&gt;"conflict",K21&lt;&gt;"unknown",M21&lt;&gt;"unknown",IF(OR(K21="yes",K21="no"),AND(M21="yes",OR(L21="text",L21="emoji",L21="voice")),L21="none")),TRUE),IF(F21="late",AND(H21="no",I21="not_sent",K21="none",L21="none",O21=0),TRUE)),"OK","CHECK"),"CHECK"))</x:f>
      </x:c>
      <x:c r="R21" s="3"/>
    </x:row>
    <x:row r="22" ht="22" customHeight="1">
      <x:c r="A22" s="8"/>
      <x:c r="B22" s="8"/>
      <x:c r="C22" s="8"/>
      <x:c r="D22" s="8"/>
      <x:c r="E22" s="7"/>
      <x:c r="F22" s="7"/>
      <x:c r="G22" s="7"/>
      <x:c r="H22" s="7"/>
      <x:c r="I22" s="7"/>
      <x:c r="J22" s="8"/>
      <x:c r="K22" s="7"/>
      <x:c r="L22" s="7"/>
      <x:c r="M22" s="7"/>
      <x:c r="N22" s="7"/>
      <x:c r="O22" s="7"/>
      <x:c r="P22" s="7"/>
      <x:c r="Q22" s="3" t="str">
        <x:f>IF(COUNTA(A22:P22)=0,"",IFERROR(IF(AND(A22&lt;&gt;"",COUNTIF($A$2:$A$201,A22)=1,OR(LEFT(B22,2)="V-",LEFT(B22,4)="SYN-"),LEN(MID(B22,IF(LEFT(B22,2)="V-",3,5),30))&gt;0,ISNUMBER(VALUE(MID(B22,IF(LEFT(B22,2)="V-",3,5),30))),VALUE(MID(B22,IF(LEFT(B22,2)="V-",3,5),30))&gt;=0,MOD(VALUE(MID(B22,IF(LEFT(B22,2)="V-",3,5),30)),1)=0,COUNTIFS(Slots!$A$2:$A$31,"E1",Slots!$B$2:$B$31,C22)=1,ISNUMBER(SEARCH("|"&amp;D22&amp;"|","|"&amp;Settings!$B$9&amp;"|")),OR(E22="regular",E22="first"),OR(F22="include",F22="duplicate",F22="late"),OR(H22="yes",H22="no"),OR(I22="success",I22="failed",I22="unknown",I22="not_sent"),OR(K22="yes",K22="no",K22="none",K22="conflict",K22="unknown"),OR(L22="text",L22="emoji",L22="voice",L22="none",L22="unknown"),OR(M22="yes",M22="no",M22="unknown"),OR(N22="yes",N22="no",N22="unknown"),ISNUMBER(O22),OR(O22=0,O22=1),OR(P22="",P22="soft_yes",P22="forgot",P22="time_place",P22="clash",P22="travel",P22="personal",P22="unknown",P22="silent_but_came"),OR(I22&lt;&gt;"success",AND(J22&lt;&gt;"",COUNTIFS($J$2:$J$201,J22,$I$2:$I$201,"success")=1)),OR(I22&lt;&gt;"not_sent",J22=""),IF(F22="duplicate",AND(COUNTIFS($A$2:$A$201,G22,$B$2:$B$201,B22,$C$2:$C$201,C22,$F$2:$F$201,"include")=1,H22="no",I22="not_sent",K22="none",M22="no",N22="no",O22=0),AND(G22="",N22&lt;&gt;"unknown",COUNTIFS($B$2:$B$201,B22,$F$2:$F$201,"&lt;&gt;duplicate")=1)),IF(F22="include",AND(H22="yes",K22&lt;&gt;"conflict",K22&lt;&gt;"unknown",M22&lt;&gt;"unknown",IF(OR(K22="yes",K22="no"),AND(M22="yes",OR(L22="text",L22="emoji",L22="voice")),L22="none")),TRUE),IF(F22="late",AND(H22="no",I22="not_sent",K22="none",L22="none",O22=0),TRUE)),"OK","CHECK"),"CHECK"))</x:f>
      </x:c>
      <x:c r="R22" s="3"/>
    </x:row>
    <x:row r="23" ht="22" customHeight="1">
      <x:c r="A23" s="8"/>
      <x:c r="B23" s="8"/>
      <x:c r="C23" s="8"/>
      <x:c r="D23" s="8"/>
      <x:c r="E23" s="7"/>
      <x:c r="F23" s="7"/>
      <x:c r="G23" s="7"/>
      <x:c r="H23" s="7"/>
      <x:c r="I23" s="7"/>
      <x:c r="J23" s="8"/>
      <x:c r="K23" s="7"/>
      <x:c r="L23" s="7"/>
      <x:c r="M23" s="7"/>
      <x:c r="N23" s="7"/>
      <x:c r="O23" s="7"/>
      <x:c r="P23" s="7"/>
      <x:c r="Q23" s="3" t="str">
        <x:f>IF(COUNTA(A23:P23)=0,"",IFERROR(IF(AND(A23&lt;&gt;"",COUNTIF($A$2:$A$201,A23)=1,OR(LEFT(B23,2)="V-",LEFT(B23,4)="SYN-"),LEN(MID(B23,IF(LEFT(B23,2)="V-",3,5),30))&gt;0,ISNUMBER(VALUE(MID(B23,IF(LEFT(B23,2)="V-",3,5),30))),VALUE(MID(B23,IF(LEFT(B23,2)="V-",3,5),30))&gt;=0,MOD(VALUE(MID(B23,IF(LEFT(B23,2)="V-",3,5),30)),1)=0,COUNTIFS(Slots!$A$2:$A$31,"E1",Slots!$B$2:$B$31,C23)=1,ISNUMBER(SEARCH("|"&amp;D23&amp;"|","|"&amp;Settings!$B$9&amp;"|")),OR(E23="regular",E23="first"),OR(F23="include",F23="duplicate",F23="late"),OR(H23="yes",H23="no"),OR(I23="success",I23="failed",I23="unknown",I23="not_sent"),OR(K23="yes",K23="no",K23="none",K23="conflict",K23="unknown"),OR(L23="text",L23="emoji",L23="voice",L23="none",L23="unknown"),OR(M23="yes",M23="no",M23="unknown"),OR(N23="yes",N23="no",N23="unknown"),ISNUMBER(O23),OR(O23=0,O23=1),OR(P23="",P23="soft_yes",P23="forgot",P23="time_place",P23="clash",P23="travel",P23="personal",P23="unknown",P23="silent_but_came"),OR(I23&lt;&gt;"success",AND(J23&lt;&gt;"",COUNTIFS($J$2:$J$201,J23,$I$2:$I$201,"success")=1)),OR(I23&lt;&gt;"not_sent",J23=""),IF(F23="duplicate",AND(COUNTIFS($A$2:$A$201,G23,$B$2:$B$201,B23,$C$2:$C$201,C23,$F$2:$F$201,"include")=1,H23="no",I23="not_sent",K23="none",M23="no",N23="no",O23=0),AND(G23="",N23&lt;&gt;"unknown",COUNTIFS($B$2:$B$201,B23,$F$2:$F$201,"&lt;&gt;duplicate")=1)),IF(F23="include",AND(H23="yes",K23&lt;&gt;"conflict",K23&lt;&gt;"unknown",M23&lt;&gt;"unknown",IF(OR(K23="yes",K23="no"),AND(M23="yes",OR(L23="text",L23="emoji",L23="voice")),L23="none")),TRUE),IF(F23="late",AND(H23="no",I23="not_sent",K23="none",L23="none",O23=0),TRUE)),"OK","CHECK"),"CHECK"))</x:f>
      </x:c>
      <x:c r="R23" s="3"/>
    </x:row>
    <x:row r="24" ht="22" customHeight="1">
      <x:c r="A24" s="8"/>
      <x:c r="B24" s="8"/>
      <x:c r="C24" s="8"/>
      <x:c r="D24" s="8"/>
      <x:c r="E24" s="7"/>
      <x:c r="F24" s="7"/>
      <x:c r="G24" s="7"/>
      <x:c r="H24" s="7"/>
      <x:c r="I24" s="7"/>
      <x:c r="J24" s="8"/>
      <x:c r="K24" s="7"/>
      <x:c r="L24" s="7"/>
      <x:c r="M24" s="7"/>
      <x:c r="N24" s="7"/>
      <x:c r="O24" s="7"/>
      <x:c r="P24" s="7"/>
      <x:c r="Q24" s="3" t="str">
        <x:f>IF(COUNTA(A24:P24)=0,"",IFERROR(IF(AND(A24&lt;&gt;"",COUNTIF($A$2:$A$201,A24)=1,OR(LEFT(B24,2)="V-",LEFT(B24,4)="SYN-"),LEN(MID(B24,IF(LEFT(B24,2)="V-",3,5),30))&gt;0,ISNUMBER(VALUE(MID(B24,IF(LEFT(B24,2)="V-",3,5),30))),VALUE(MID(B24,IF(LEFT(B24,2)="V-",3,5),30))&gt;=0,MOD(VALUE(MID(B24,IF(LEFT(B24,2)="V-",3,5),30)),1)=0,COUNTIFS(Slots!$A$2:$A$31,"E1",Slots!$B$2:$B$31,C24)=1,ISNUMBER(SEARCH("|"&amp;D24&amp;"|","|"&amp;Settings!$B$9&amp;"|")),OR(E24="regular",E24="first"),OR(F24="include",F24="duplicate",F24="late"),OR(H24="yes",H24="no"),OR(I24="success",I24="failed",I24="unknown",I24="not_sent"),OR(K24="yes",K24="no",K24="none",K24="conflict",K24="unknown"),OR(L24="text",L24="emoji",L24="voice",L24="none",L24="unknown"),OR(M24="yes",M24="no",M24="unknown"),OR(N24="yes",N24="no",N24="unknown"),ISNUMBER(O24),OR(O24=0,O24=1),OR(P24="",P24="soft_yes",P24="forgot",P24="time_place",P24="clash",P24="travel",P24="personal",P24="unknown",P24="silent_but_came"),OR(I24&lt;&gt;"success",AND(J24&lt;&gt;"",COUNTIFS($J$2:$J$201,J24,$I$2:$I$201,"success")=1)),OR(I24&lt;&gt;"not_sent",J24=""),IF(F24="duplicate",AND(COUNTIFS($A$2:$A$201,G24,$B$2:$B$201,B24,$C$2:$C$201,C24,$F$2:$F$201,"include")=1,H24="no",I24="not_sent",K24="none",M24="no",N24="no",O24=0),AND(G24="",N24&lt;&gt;"unknown",COUNTIFS($B$2:$B$201,B24,$F$2:$F$201,"&lt;&gt;duplicate")=1)),IF(F24="include",AND(H24="yes",K24&lt;&gt;"conflict",K24&lt;&gt;"unknown",M24&lt;&gt;"unknown",IF(OR(K24="yes",K24="no"),AND(M24="yes",OR(L24="text",L24="emoji",L24="voice")),L24="none")),TRUE),IF(F24="late",AND(H24="no",I24="not_sent",K24="none",L24="none",O24=0),TRUE)),"OK","CHECK"),"CHECK"))</x:f>
      </x:c>
      <x:c r="R24" s="3"/>
    </x:row>
    <x:row r="25" ht="22" customHeight="1">
      <x:c r="A25" s="8"/>
      <x:c r="B25" s="8"/>
      <x:c r="C25" s="8"/>
      <x:c r="D25" s="8"/>
      <x:c r="E25" s="7"/>
      <x:c r="F25" s="7"/>
      <x:c r="G25" s="7"/>
      <x:c r="H25" s="7"/>
      <x:c r="I25" s="7"/>
      <x:c r="J25" s="8"/>
      <x:c r="K25" s="7"/>
      <x:c r="L25" s="7"/>
      <x:c r="M25" s="7"/>
      <x:c r="N25" s="7"/>
      <x:c r="O25" s="7"/>
      <x:c r="P25" s="7"/>
      <x:c r="Q25" s="3" t="str">
        <x:f>IF(COUNTA(A25:P25)=0,"",IFERROR(IF(AND(A25&lt;&gt;"",COUNTIF($A$2:$A$201,A25)=1,OR(LEFT(B25,2)="V-",LEFT(B25,4)="SYN-"),LEN(MID(B25,IF(LEFT(B25,2)="V-",3,5),30))&gt;0,ISNUMBER(VALUE(MID(B25,IF(LEFT(B25,2)="V-",3,5),30))),VALUE(MID(B25,IF(LEFT(B25,2)="V-",3,5),30))&gt;=0,MOD(VALUE(MID(B25,IF(LEFT(B25,2)="V-",3,5),30)),1)=0,COUNTIFS(Slots!$A$2:$A$31,"E1",Slots!$B$2:$B$31,C25)=1,ISNUMBER(SEARCH("|"&amp;D25&amp;"|","|"&amp;Settings!$B$9&amp;"|")),OR(E25="regular",E25="first"),OR(F25="include",F25="duplicate",F25="late"),OR(H25="yes",H25="no"),OR(I25="success",I25="failed",I25="unknown",I25="not_sent"),OR(K25="yes",K25="no",K25="none",K25="conflict",K25="unknown"),OR(L25="text",L25="emoji",L25="voice",L25="none",L25="unknown"),OR(M25="yes",M25="no",M25="unknown"),OR(N25="yes",N25="no",N25="unknown"),ISNUMBER(O25),OR(O25=0,O25=1),OR(P25="",P25="soft_yes",P25="forgot",P25="time_place",P25="clash",P25="travel",P25="personal",P25="unknown",P25="silent_but_came"),OR(I25&lt;&gt;"success",AND(J25&lt;&gt;"",COUNTIFS($J$2:$J$201,J25,$I$2:$I$201,"success")=1)),OR(I25&lt;&gt;"not_sent",J25=""),IF(F25="duplicate",AND(COUNTIFS($A$2:$A$201,G25,$B$2:$B$201,B25,$C$2:$C$201,C25,$F$2:$F$201,"include")=1,H25="no",I25="not_sent",K25="none",M25="no",N25="no",O25=0),AND(G25="",N25&lt;&gt;"unknown",COUNTIFS($B$2:$B$201,B25,$F$2:$F$201,"&lt;&gt;duplicate")=1)),IF(F25="include",AND(H25="yes",K25&lt;&gt;"conflict",K25&lt;&gt;"unknown",M25&lt;&gt;"unknown",IF(OR(K25="yes",K25="no"),AND(M25="yes",OR(L25="text",L25="emoji",L25="voice")),L25="none")),TRUE),IF(F25="late",AND(H25="no",I25="not_sent",K25="none",L25="none",O25=0),TRUE)),"OK","CHECK"),"CHECK"))</x:f>
      </x:c>
      <x:c r="R25" s="3"/>
    </x:row>
    <x:row r="26" ht="22" customHeight="1">
      <x:c r="A26" s="8"/>
      <x:c r="B26" s="8"/>
      <x:c r="C26" s="8"/>
      <x:c r="D26" s="8"/>
      <x:c r="E26" s="7"/>
      <x:c r="F26" s="7"/>
      <x:c r="G26" s="7"/>
      <x:c r="H26" s="7"/>
      <x:c r="I26" s="7"/>
      <x:c r="J26" s="8"/>
      <x:c r="K26" s="7"/>
      <x:c r="L26" s="7"/>
      <x:c r="M26" s="7"/>
      <x:c r="N26" s="7"/>
      <x:c r="O26" s="7"/>
      <x:c r="P26" s="7"/>
      <x:c r="Q26" s="3" t="str">
        <x:f>IF(COUNTA(A26:P26)=0,"",IFERROR(IF(AND(A26&lt;&gt;"",COUNTIF($A$2:$A$201,A26)=1,OR(LEFT(B26,2)="V-",LEFT(B26,4)="SYN-"),LEN(MID(B26,IF(LEFT(B26,2)="V-",3,5),30))&gt;0,ISNUMBER(VALUE(MID(B26,IF(LEFT(B26,2)="V-",3,5),30))),VALUE(MID(B26,IF(LEFT(B26,2)="V-",3,5),30))&gt;=0,MOD(VALUE(MID(B26,IF(LEFT(B26,2)="V-",3,5),30)),1)=0,COUNTIFS(Slots!$A$2:$A$31,"E1",Slots!$B$2:$B$31,C26)=1,ISNUMBER(SEARCH("|"&amp;D26&amp;"|","|"&amp;Settings!$B$9&amp;"|")),OR(E26="regular",E26="first"),OR(F26="include",F26="duplicate",F26="late"),OR(H26="yes",H26="no"),OR(I26="success",I26="failed",I26="unknown",I26="not_sent"),OR(K26="yes",K26="no",K26="none",K26="conflict",K26="unknown"),OR(L26="text",L26="emoji",L26="voice",L26="none",L26="unknown"),OR(M26="yes",M26="no",M26="unknown"),OR(N26="yes",N26="no",N26="unknown"),ISNUMBER(O26),OR(O26=0,O26=1),OR(P26="",P26="soft_yes",P26="forgot",P26="time_place",P26="clash",P26="travel",P26="personal",P26="unknown",P26="silent_but_came"),OR(I26&lt;&gt;"success",AND(J26&lt;&gt;"",COUNTIFS($J$2:$J$201,J26,$I$2:$I$201,"success")=1)),OR(I26&lt;&gt;"not_sent",J26=""),IF(F26="duplicate",AND(COUNTIFS($A$2:$A$201,G26,$B$2:$B$201,B26,$C$2:$C$201,C26,$F$2:$F$201,"include")=1,H26="no",I26="not_sent",K26="none",M26="no",N26="no",O26=0),AND(G26="",N26&lt;&gt;"unknown",COUNTIFS($B$2:$B$201,B26,$F$2:$F$201,"&lt;&gt;duplicate")=1)),IF(F26="include",AND(H26="yes",K26&lt;&gt;"conflict",K26&lt;&gt;"unknown",M26&lt;&gt;"unknown",IF(OR(K26="yes",K26="no"),AND(M26="yes",OR(L26="text",L26="emoji",L26="voice")),L26="none")),TRUE),IF(F26="late",AND(H26="no",I26="not_sent",K26="none",L26="none",O26=0),TRUE)),"OK","CHECK"),"CHECK"))</x:f>
      </x:c>
      <x:c r="R26" s="3"/>
    </x:row>
    <x:row r="27" ht="22" customHeight="1">
      <x:c r="A27" s="8"/>
      <x:c r="B27" s="8"/>
      <x:c r="C27" s="8"/>
      <x:c r="D27" s="8"/>
      <x:c r="E27" s="7"/>
      <x:c r="F27" s="7"/>
      <x:c r="G27" s="7"/>
      <x:c r="H27" s="7"/>
      <x:c r="I27" s="7"/>
      <x:c r="J27" s="8"/>
      <x:c r="K27" s="7"/>
      <x:c r="L27" s="7"/>
      <x:c r="M27" s="7"/>
      <x:c r="N27" s="7"/>
      <x:c r="O27" s="7"/>
      <x:c r="P27" s="7"/>
      <x:c r="Q27" s="3" t="str">
        <x:f>IF(COUNTA(A27:P27)=0,"",IFERROR(IF(AND(A27&lt;&gt;"",COUNTIF($A$2:$A$201,A27)=1,OR(LEFT(B27,2)="V-",LEFT(B27,4)="SYN-"),LEN(MID(B27,IF(LEFT(B27,2)="V-",3,5),30))&gt;0,ISNUMBER(VALUE(MID(B27,IF(LEFT(B27,2)="V-",3,5),30))),VALUE(MID(B27,IF(LEFT(B27,2)="V-",3,5),30))&gt;=0,MOD(VALUE(MID(B27,IF(LEFT(B27,2)="V-",3,5),30)),1)=0,COUNTIFS(Slots!$A$2:$A$31,"E1",Slots!$B$2:$B$31,C27)=1,ISNUMBER(SEARCH("|"&amp;D27&amp;"|","|"&amp;Settings!$B$9&amp;"|")),OR(E27="regular",E27="first"),OR(F27="include",F27="duplicate",F27="late"),OR(H27="yes",H27="no"),OR(I27="success",I27="failed",I27="unknown",I27="not_sent"),OR(K27="yes",K27="no",K27="none",K27="conflict",K27="unknown"),OR(L27="text",L27="emoji",L27="voice",L27="none",L27="unknown"),OR(M27="yes",M27="no",M27="unknown"),OR(N27="yes",N27="no",N27="unknown"),ISNUMBER(O27),OR(O27=0,O27=1),OR(P27="",P27="soft_yes",P27="forgot",P27="time_place",P27="clash",P27="travel",P27="personal",P27="unknown",P27="silent_but_came"),OR(I27&lt;&gt;"success",AND(J27&lt;&gt;"",COUNTIFS($J$2:$J$201,J27,$I$2:$I$201,"success")=1)),OR(I27&lt;&gt;"not_sent",J27=""),IF(F27="duplicate",AND(COUNTIFS($A$2:$A$201,G27,$B$2:$B$201,B27,$C$2:$C$201,C27,$F$2:$F$201,"include")=1,H27="no",I27="not_sent",K27="none",M27="no",N27="no",O27=0),AND(G27="",N27&lt;&gt;"unknown",COUNTIFS($B$2:$B$201,B27,$F$2:$F$201,"&lt;&gt;duplicate")=1)),IF(F27="include",AND(H27="yes",K27&lt;&gt;"conflict",K27&lt;&gt;"unknown",M27&lt;&gt;"unknown",IF(OR(K27="yes",K27="no"),AND(M27="yes",OR(L27="text",L27="emoji",L27="voice")),L27="none")),TRUE),IF(F27="late",AND(H27="no",I27="not_sent",K27="none",L27="none",O27=0),TRUE)),"OK","CHECK"),"CHECK"))</x:f>
      </x:c>
      <x:c r="R27" s="3"/>
    </x:row>
    <x:row r="28" ht="22" customHeight="1">
      <x:c r="A28" s="8"/>
      <x:c r="B28" s="8"/>
      <x:c r="C28" s="8"/>
      <x:c r="D28" s="8"/>
      <x:c r="E28" s="7"/>
      <x:c r="F28" s="7"/>
      <x:c r="G28" s="7"/>
      <x:c r="H28" s="7"/>
      <x:c r="I28" s="7"/>
      <x:c r="J28" s="8"/>
      <x:c r="K28" s="7"/>
      <x:c r="L28" s="7"/>
      <x:c r="M28" s="7"/>
      <x:c r="N28" s="7"/>
      <x:c r="O28" s="7"/>
      <x:c r="P28" s="7"/>
      <x:c r="Q28" s="3" t="str">
        <x:f>IF(COUNTA(A28:P28)=0,"",IFERROR(IF(AND(A28&lt;&gt;"",COUNTIF($A$2:$A$201,A28)=1,OR(LEFT(B28,2)="V-",LEFT(B28,4)="SYN-"),LEN(MID(B28,IF(LEFT(B28,2)="V-",3,5),30))&gt;0,ISNUMBER(VALUE(MID(B28,IF(LEFT(B28,2)="V-",3,5),30))),VALUE(MID(B28,IF(LEFT(B28,2)="V-",3,5),30))&gt;=0,MOD(VALUE(MID(B28,IF(LEFT(B28,2)="V-",3,5),30)),1)=0,COUNTIFS(Slots!$A$2:$A$31,"E1",Slots!$B$2:$B$31,C28)=1,ISNUMBER(SEARCH("|"&amp;D28&amp;"|","|"&amp;Settings!$B$9&amp;"|")),OR(E28="regular",E28="first"),OR(F28="include",F28="duplicate",F28="late"),OR(H28="yes",H28="no"),OR(I28="success",I28="failed",I28="unknown",I28="not_sent"),OR(K28="yes",K28="no",K28="none",K28="conflict",K28="unknown"),OR(L28="text",L28="emoji",L28="voice",L28="none",L28="unknown"),OR(M28="yes",M28="no",M28="unknown"),OR(N28="yes",N28="no",N28="unknown"),ISNUMBER(O28),OR(O28=0,O28=1),OR(P28="",P28="soft_yes",P28="forgot",P28="time_place",P28="clash",P28="travel",P28="personal",P28="unknown",P28="silent_but_came"),OR(I28&lt;&gt;"success",AND(J28&lt;&gt;"",COUNTIFS($J$2:$J$201,J28,$I$2:$I$201,"success")=1)),OR(I28&lt;&gt;"not_sent",J28=""),IF(F28="duplicate",AND(COUNTIFS($A$2:$A$201,G28,$B$2:$B$201,B28,$C$2:$C$201,C28,$F$2:$F$201,"include")=1,H28="no",I28="not_sent",K28="none",M28="no",N28="no",O28=0),AND(G28="",N28&lt;&gt;"unknown",COUNTIFS($B$2:$B$201,B28,$F$2:$F$201,"&lt;&gt;duplicate")=1)),IF(F28="include",AND(H28="yes",K28&lt;&gt;"conflict",K28&lt;&gt;"unknown",M28&lt;&gt;"unknown",IF(OR(K28="yes",K28="no"),AND(M28="yes",OR(L28="text",L28="emoji",L28="voice")),L28="none")),TRUE),IF(F28="late",AND(H28="no",I28="not_sent",K28="none",L28="none",O28=0),TRUE)),"OK","CHECK"),"CHECK"))</x:f>
      </x:c>
      <x:c r="R28" s="3"/>
    </x:row>
    <x:row r="29" ht="22" customHeight="1">
      <x:c r="A29" s="8"/>
      <x:c r="B29" s="8"/>
      <x:c r="C29" s="8"/>
      <x:c r="D29" s="8"/>
      <x:c r="E29" s="7"/>
      <x:c r="F29" s="7"/>
      <x:c r="G29" s="7"/>
      <x:c r="H29" s="7"/>
      <x:c r="I29" s="7"/>
      <x:c r="J29" s="8"/>
      <x:c r="K29" s="7"/>
      <x:c r="L29" s="7"/>
      <x:c r="M29" s="7"/>
      <x:c r="N29" s="7"/>
      <x:c r="O29" s="7"/>
      <x:c r="P29" s="7"/>
      <x:c r="Q29" s="3" t="str">
        <x:f>IF(COUNTA(A29:P29)=0,"",IFERROR(IF(AND(A29&lt;&gt;"",COUNTIF($A$2:$A$201,A29)=1,OR(LEFT(B29,2)="V-",LEFT(B29,4)="SYN-"),LEN(MID(B29,IF(LEFT(B29,2)="V-",3,5),30))&gt;0,ISNUMBER(VALUE(MID(B29,IF(LEFT(B29,2)="V-",3,5),30))),VALUE(MID(B29,IF(LEFT(B29,2)="V-",3,5),30))&gt;=0,MOD(VALUE(MID(B29,IF(LEFT(B29,2)="V-",3,5),30)),1)=0,COUNTIFS(Slots!$A$2:$A$31,"E1",Slots!$B$2:$B$31,C29)=1,ISNUMBER(SEARCH("|"&amp;D29&amp;"|","|"&amp;Settings!$B$9&amp;"|")),OR(E29="regular",E29="first"),OR(F29="include",F29="duplicate",F29="late"),OR(H29="yes",H29="no"),OR(I29="success",I29="failed",I29="unknown",I29="not_sent"),OR(K29="yes",K29="no",K29="none",K29="conflict",K29="unknown"),OR(L29="text",L29="emoji",L29="voice",L29="none",L29="unknown"),OR(M29="yes",M29="no",M29="unknown"),OR(N29="yes",N29="no",N29="unknown"),ISNUMBER(O29),OR(O29=0,O29=1),OR(P29="",P29="soft_yes",P29="forgot",P29="time_place",P29="clash",P29="travel",P29="personal",P29="unknown",P29="silent_but_came"),OR(I29&lt;&gt;"success",AND(J29&lt;&gt;"",COUNTIFS($J$2:$J$201,J29,$I$2:$I$201,"success")=1)),OR(I29&lt;&gt;"not_sent",J29=""),IF(F29="duplicate",AND(COUNTIFS($A$2:$A$201,G29,$B$2:$B$201,B29,$C$2:$C$201,C29,$F$2:$F$201,"include")=1,H29="no",I29="not_sent",K29="none",M29="no",N29="no",O29=0),AND(G29="",N29&lt;&gt;"unknown",COUNTIFS($B$2:$B$201,B29,$F$2:$F$201,"&lt;&gt;duplicate")=1)),IF(F29="include",AND(H29="yes",K29&lt;&gt;"conflict",K29&lt;&gt;"unknown",M29&lt;&gt;"unknown",IF(OR(K29="yes",K29="no"),AND(M29="yes",OR(L29="text",L29="emoji",L29="voice")),L29="none")),TRUE),IF(F29="late",AND(H29="no",I29="not_sent",K29="none",L29="none",O29=0),TRUE)),"OK","CHECK"),"CHECK"))</x:f>
      </x:c>
      <x:c r="R29" s="3"/>
    </x:row>
    <x:row r="30" ht="22" customHeight="1">
      <x:c r="A30" s="8"/>
      <x:c r="B30" s="8"/>
      <x:c r="C30" s="8"/>
      <x:c r="D30" s="8"/>
      <x:c r="E30" s="7"/>
      <x:c r="F30" s="7"/>
      <x:c r="G30" s="7"/>
      <x:c r="H30" s="7"/>
      <x:c r="I30" s="7"/>
      <x:c r="J30" s="8"/>
      <x:c r="K30" s="7"/>
      <x:c r="L30" s="7"/>
      <x:c r="M30" s="7"/>
      <x:c r="N30" s="7"/>
      <x:c r="O30" s="7"/>
      <x:c r="P30" s="7"/>
      <x:c r="Q30" s="3" t="str">
        <x:f>IF(COUNTA(A30:P30)=0,"",IFERROR(IF(AND(A30&lt;&gt;"",COUNTIF($A$2:$A$201,A30)=1,OR(LEFT(B30,2)="V-",LEFT(B30,4)="SYN-"),LEN(MID(B30,IF(LEFT(B30,2)="V-",3,5),30))&gt;0,ISNUMBER(VALUE(MID(B30,IF(LEFT(B30,2)="V-",3,5),30))),VALUE(MID(B30,IF(LEFT(B30,2)="V-",3,5),30))&gt;=0,MOD(VALUE(MID(B30,IF(LEFT(B30,2)="V-",3,5),30)),1)=0,COUNTIFS(Slots!$A$2:$A$31,"E1",Slots!$B$2:$B$31,C30)=1,ISNUMBER(SEARCH("|"&amp;D30&amp;"|","|"&amp;Settings!$B$9&amp;"|")),OR(E30="regular",E30="first"),OR(F30="include",F30="duplicate",F30="late"),OR(H30="yes",H30="no"),OR(I30="success",I30="failed",I30="unknown",I30="not_sent"),OR(K30="yes",K30="no",K30="none",K30="conflict",K30="unknown"),OR(L30="text",L30="emoji",L30="voice",L30="none",L30="unknown"),OR(M30="yes",M30="no",M30="unknown"),OR(N30="yes",N30="no",N30="unknown"),ISNUMBER(O30),OR(O30=0,O30=1),OR(P30="",P30="soft_yes",P30="forgot",P30="time_place",P30="clash",P30="travel",P30="personal",P30="unknown",P30="silent_but_came"),OR(I30&lt;&gt;"success",AND(J30&lt;&gt;"",COUNTIFS($J$2:$J$201,J30,$I$2:$I$201,"success")=1)),OR(I30&lt;&gt;"not_sent",J30=""),IF(F30="duplicate",AND(COUNTIFS($A$2:$A$201,G30,$B$2:$B$201,B30,$C$2:$C$201,C30,$F$2:$F$201,"include")=1,H30="no",I30="not_sent",K30="none",M30="no",N30="no",O30=0),AND(G30="",N30&lt;&gt;"unknown",COUNTIFS($B$2:$B$201,B30,$F$2:$F$201,"&lt;&gt;duplicate")=1)),IF(F30="include",AND(H30="yes",K30&lt;&gt;"conflict",K30&lt;&gt;"unknown",M30&lt;&gt;"unknown",IF(OR(K30="yes",K30="no"),AND(M30="yes",OR(L30="text",L30="emoji",L30="voice")),L30="none")),TRUE),IF(F30="late",AND(H30="no",I30="not_sent",K30="none",L30="none",O30=0),TRUE)),"OK","CHECK"),"CHECK"))</x:f>
      </x:c>
      <x:c r="R30" s="3"/>
    </x:row>
    <x:row r="31" ht="22" customHeight="1">
      <x:c r="A31" s="8"/>
      <x:c r="B31" s="8"/>
      <x:c r="C31" s="8"/>
      <x:c r="D31" s="8"/>
      <x:c r="E31" s="7"/>
      <x:c r="F31" s="7"/>
      <x:c r="G31" s="7"/>
      <x:c r="H31" s="7"/>
      <x:c r="I31" s="7"/>
      <x:c r="J31" s="8"/>
      <x:c r="K31" s="7"/>
      <x:c r="L31" s="7"/>
      <x:c r="M31" s="7"/>
      <x:c r="N31" s="7"/>
      <x:c r="O31" s="7"/>
      <x:c r="P31" s="7"/>
      <x:c r="Q31" s="3" t="str">
        <x:f>IF(COUNTA(A31:P31)=0,"",IFERROR(IF(AND(A31&lt;&gt;"",COUNTIF($A$2:$A$201,A31)=1,OR(LEFT(B31,2)="V-",LEFT(B31,4)="SYN-"),LEN(MID(B31,IF(LEFT(B31,2)="V-",3,5),30))&gt;0,ISNUMBER(VALUE(MID(B31,IF(LEFT(B31,2)="V-",3,5),30))),VALUE(MID(B31,IF(LEFT(B31,2)="V-",3,5),30))&gt;=0,MOD(VALUE(MID(B31,IF(LEFT(B31,2)="V-",3,5),30)),1)=0,COUNTIFS(Slots!$A$2:$A$31,"E1",Slots!$B$2:$B$31,C31)=1,ISNUMBER(SEARCH("|"&amp;D31&amp;"|","|"&amp;Settings!$B$9&amp;"|")),OR(E31="regular",E31="first"),OR(F31="include",F31="duplicate",F31="late"),OR(H31="yes",H31="no"),OR(I31="success",I31="failed",I31="unknown",I31="not_sent"),OR(K31="yes",K31="no",K31="none",K31="conflict",K31="unknown"),OR(L31="text",L31="emoji",L31="voice",L31="none",L31="unknown"),OR(M31="yes",M31="no",M31="unknown"),OR(N31="yes",N31="no",N31="unknown"),ISNUMBER(O31),OR(O31=0,O31=1),OR(P31="",P31="soft_yes",P31="forgot",P31="time_place",P31="clash",P31="travel",P31="personal",P31="unknown",P31="silent_but_came"),OR(I31&lt;&gt;"success",AND(J31&lt;&gt;"",COUNTIFS($J$2:$J$201,J31,$I$2:$I$201,"success")=1)),OR(I31&lt;&gt;"not_sent",J31=""),IF(F31="duplicate",AND(COUNTIFS($A$2:$A$201,G31,$B$2:$B$201,B31,$C$2:$C$201,C31,$F$2:$F$201,"include")=1,H31="no",I31="not_sent",K31="none",M31="no",N31="no",O31=0),AND(G31="",N31&lt;&gt;"unknown",COUNTIFS($B$2:$B$201,B31,$F$2:$F$201,"&lt;&gt;duplicate")=1)),IF(F31="include",AND(H31="yes",K31&lt;&gt;"conflict",K31&lt;&gt;"unknown",M31&lt;&gt;"unknown",IF(OR(K31="yes",K31="no"),AND(M31="yes",OR(L31="text",L31="emoji",L31="voice")),L31="none")),TRUE),IF(F31="late",AND(H31="no",I31="not_sent",K31="none",L31="none",O31=0),TRUE)),"OK","CHECK"),"CHECK"))</x:f>
      </x:c>
      <x:c r="R31" s="3"/>
    </x:row>
    <x:row r="32" ht="22" customHeight="1">
      <x:c r="A32" s="8"/>
      <x:c r="B32" s="8"/>
      <x:c r="C32" s="8"/>
      <x:c r="D32" s="8"/>
      <x:c r="E32" s="7"/>
      <x:c r="F32" s="7"/>
      <x:c r="G32" s="7"/>
      <x:c r="H32" s="7"/>
      <x:c r="I32" s="7"/>
      <x:c r="J32" s="8"/>
      <x:c r="K32" s="7"/>
      <x:c r="L32" s="7"/>
      <x:c r="M32" s="7"/>
      <x:c r="N32" s="7"/>
      <x:c r="O32" s="7"/>
      <x:c r="P32" s="7"/>
      <x:c r="Q32" s="3" t="str">
        <x:f>IF(COUNTA(A32:P32)=0,"",IFERROR(IF(AND(A32&lt;&gt;"",COUNTIF($A$2:$A$201,A32)=1,OR(LEFT(B32,2)="V-",LEFT(B32,4)="SYN-"),LEN(MID(B32,IF(LEFT(B32,2)="V-",3,5),30))&gt;0,ISNUMBER(VALUE(MID(B32,IF(LEFT(B32,2)="V-",3,5),30))),VALUE(MID(B32,IF(LEFT(B32,2)="V-",3,5),30))&gt;=0,MOD(VALUE(MID(B32,IF(LEFT(B32,2)="V-",3,5),30)),1)=0,COUNTIFS(Slots!$A$2:$A$31,"E1",Slots!$B$2:$B$31,C32)=1,ISNUMBER(SEARCH("|"&amp;D32&amp;"|","|"&amp;Settings!$B$9&amp;"|")),OR(E32="regular",E32="first"),OR(F32="include",F32="duplicate",F32="late"),OR(H32="yes",H32="no"),OR(I32="success",I32="failed",I32="unknown",I32="not_sent"),OR(K32="yes",K32="no",K32="none",K32="conflict",K32="unknown"),OR(L32="text",L32="emoji",L32="voice",L32="none",L32="unknown"),OR(M32="yes",M32="no",M32="unknown"),OR(N32="yes",N32="no",N32="unknown"),ISNUMBER(O32),OR(O32=0,O32=1),OR(P32="",P32="soft_yes",P32="forgot",P32="time_place",P32="clash",P32="travel",P32="personal",P32="unknown",P32="silent_but_came"),OR(I32&lt;&gt;"success",AND(J32&lt;&gt;"",COUNTIFS($J$2:$J$201,J32,$I$2:$I$201,"success")=1)),OR(I32&lt;&gt;"not_sent",J32=""),IF(F32="duplicate",AND(COUNTIFS($A$2:$A$201,G32,$B$2:$B$201,B32,$C$2:$C$201,C32,$F$2:$F$201,"include")=1,H32="no",I32="not_sent",K32="none",M32="no",N32="no",O32=0),AND(G32="",N32&lt;&gt;"unknown",COUNTIFS($B$2:$B$201,B32,$F$2:$F$201,"&lt;&gt;duplicate")=1)),IF(F32="include",AND(H32="yes",K32&lt;&gt;"conflict",K32&lt;&gt;"unknown",M32&lt;&gt;"unknown",IF(OR(K32="yes",K32="no"),AND(M32="yes",OR(L32="text",L32="emoji",L32="voice")),L32="none")),TRUE),IF(F32="late",AND(H32="no",I32="not_sent",K32="none",L32="none",O32=0),TRUE)),"OK","CHECK"),"CHECK"))</x:f>
      </x:c>
      <x:c r="R32" s="3"/>
    </x:row>
    <x:row r="33" ht="22" customHeight="1">
      <x:c r="A33" s="8"/>
      <x:c r="B33" s="8"/>
      <x:c r="C33" s="8"/>
      <x:c r="D33" s="8"/>
      <x:c r="E33" s="7"/>
      <x:c r="F33" s="7"/>
      <x:c r="G33" s="7"/>
      <x:c r="H33" s="7"/>
      <x:c r="I33" s="7"/>
      <x:c r="J33" s="8"/>
      <x:c r="K33" s="7"/>
      <x:c r="L33" s="7"/>
      <x:c r="M33" s="7"/>
      <x:c r="N33" s="7"/>
      <x:c r="O33" s="7"/>
      <x:c r="P33" s="7"/>
      <x:c r="Q33" s="3" t="str">
        <x:f>IF(COUNTA(A33:P33)=0,"",IFERROR(IF(AND(A33&lt;&gt;"",COUNTIF($A$2:$A$201,A33)=1,OR(LEFT(B33,2)="V-",LEFT(B33,4)="SYN-"),LEN(MID(B33,IF(LEFT(B33,2)="V-",3,5),30))&gt;0,ISNUMBER(VALUE(MID(B33,IF(LEFT(B33,2)="V-",3,5),30))),VALUE(MID(B33,IF(LEFT(B33,2)="V-",3,5),30))&gt;=0,MOD(VALUE(MID(B33,IF(LEFT(B33,2)="V-",3,5),30)),1)=0,COUNTIFS(Slots!$A$2:$A$31,"E1",Slots!$B$2:$B$31,C33)=1,ISNUMBER(SEARCH("|"&amp;D33&amp;"|","|"&amp;Settings!$B$9&amp;"|")),OR(E33="regular",E33="first"),OR(F33="include",F33="duplicate",F33="late"),OR(H33="yes",H33="no"),OR(I33="success",I33="failed",I33="unknown",I33="not_sent"),OR(K33="yes",K33="no",K33="none",K33="conflict",K33="unknown"),OR(L33="text",L33="emoji",L33="voice",L33="none",L33="unknown"),OR(M33="yes",M33="no",M33="unknown"),OR(N33="yes",N33="no",N33="unknown"),ISNUMBER(O33),OR(O33=0,O33=1),OR(P33="",P33="soft_yes",P33="forgot",P33="time_place",P33="clash",P33="travel",P33="personal",P33="unknown",P33="silent_but_came"),OR(I33&lt;&gt;"success",AND(J33&lt;&gt;"",COUNTIFS($J$2:$J$201,J33,$I$2:$I$201,"success")=1)),OR(I33&lt;&gt;"not_sent",J33=""),IF(F33="duplicate",AND(COUNTIFS($A$2:$A$201,G33,$B$2:$B$201,B33,$C$2:$C$201,C33,$F$2:$F$201,"include")=1,H33="no",I33="not_sent",K33="none",M33="no",N33="no",O33=0),AND(G33="",N33&lt;&gt;"unknown",COUNTIFS($B$2:$B$201,B33,$F$2:$F$201,"&lt;&gt;duplicate")=1)),IF(F33="include",AND(H33="yes",K33&lt;&gt;"conflict",K33&lt;&gt;"unknown",M33&lt;&gt;"unknown",IF(OR(K33="yes",K33="no"),AND(M33="yes",OR(L33="text",L33="emoji",L33="voice")),L33="none")),TRUE),IF(F33="late",AND(H33="no",I33="not_sent",K33="none",L33="none",O33=0),TRUE)),"OK","CHECK"),"CHECK"))</x:f>
      </x:c>
      <x:c r="R33" s="3"/>
    </x:row>
    <x:row r="34" ht="22" customHeight="1">
      <x:c r="A34" s="8"/>
      <x:c r="B34" s="8"/>
      <x:c r="C34" s="8"/>
      <x:c r="D34" s="8"/>
      <x:c r="E34" s="7"/>
      <x:c r="F34" s="7"/>
      <x:c r="G34" s="7"/>
      <x:c r="H34" s="7"/>
      <x:c r="I34" s="7"/>
      <x:c r="J34" s="8"/>
      <x:c r="K34" s="7"/>
      <x:c r="L34" s="7"/>
      <x:c r="M34" s="7"/>
      <x:c r="N34" s="7"/>
      <x:c r="O34" s="7"/>
      <x:c r="P34" s="7"/>
      <x:c r="Q34" s="3" t="str">
        <x:f>IF(COUNTA(A34:P34)=0,"",IFERROR(IF(AND(A34&lt;&gt;"",COUNTIF($A$2:$A$201,A34)=1,OR(LEFT(B34,2)="V-",LEFT(B34,4)="SYN-"),LEN(MID(B34,IF(LEFT(B34,2)="V-",3,5),30))&gt;0,ISNUMBER(VALUE(MID(B34,IF(LEFT(B34,2)="V-",3,5),30))),VALUE(MID(B34,IF(LEFT(B34,2)="V-",3,5),30))&gt;=0,MOD(VALUE(MID(B34,IF(LEFT(B34,2)="V-",3,5),30)),1)=0,COUNTIFS(Slots!$A$2:$A$31,"E1",Slots!$B$2:$B$31,C34)=1,ISNUMBER(SEARCH("|"&amp;D34&amp;"|","|"&amp;Settings!$B$9&amp;"|")),OR(E34="regular",E34="first"),OR(F34="include",F34="duplicate",F34="late"),OR(H34="yes",H34="no"),OR(I34="success",I34="failed",I34="unknown",I34="not_sent"),OR(K34="yes",K34="no",K34="none",K34="conflict",K34="unknown"),OR(L34="text",L34="emoji",L34="voice",L34="none",L34="unknown"),OR(M34="yes",M34="no",M34="unknown"),OR(N34="yes",N34="no",N34="unknown"),ISNUMBER(O34),OR(O34=0,O34=1),OR(P34="",P34="soft_yes",P34="forgot",P34="time_place",P34="clash",P34="travel",P34="personal",P34="unknown",P34="silent_but_came"),OR(I34&lt;&gt;"success",AND(J34&lt;&gt;"",COUNTIFS($J$2:$J$201,J34,$I$2:$I$201,"success")=1)),OR(I34&lt;&gt;"not_sent",J34=""),IF(F34="duplicate",AND(COUNTIFS($A$2:$A$201,G34,$B$2:$B$201,B34,$C$2:$C$201,C34,$F$2:$F$201,"include")=1,H34="no",I34="not_sent",K34="none",M34="no",N34="no",O34=0),AND(G34="",N34&lt;&gt;"unknown",COUNTIFS($B$2:$B$201,B34,$F$2:$F$201,"&lt;&gt;duplicate")=1)),IF(F34="include",AND(H34="yes",K34&lt;&gt;"conflict",K34&lt;&gt;"unknown",M34&lt;&gt;"unknown",IF(OR(K34="yes",K34="no"),AND(M34="yes",OR(L34="text",L34="emoji",L34="voice")),L34="none")),TRUE),IF(F34="late",AND(H34="no",I34="not_sent",K34="none",L34="none",O34=0),TRUE)),"OK","CHECK"),"CHECK"))</x:f>
      </x:c>
      <x:c r="R34" s="3"/>
    </x:row>
    <x:row r="35" ht="22" customHeight="1">
      <x:c r="A35" s="8"/>
      <x:c r="B35" s="8"/>
      <x:c r="C35" s="8"/>
      <x:c r="D35" s="8"/>
      <x:c r="E35" s="7"/>
      <x:c r="F35" s="7"/>
      <x:c r="G35" s="7"/>
      <x:c r="H35" s="7"/>
      <x:c r="I35" s="7"/>
      <x:c r="J35" s="8"/>
      <x:c r="K35" s="7"/>
      <x:c r="L35" s="7"/>
      <x:c r="M35" s="7"/>
      <x:c r="N35" s="7"/>
      <x:c r="O35" s="7"/>
      <x:c r="P35" s="7"/>
      <x:c r="Q35" s="3" t="str">
        <x:f>IF(COUNTA(A35:P35)=0,"",IFERROR(IF(AND(A35&lt;&gt;"",COUNTIF($A$2:$A$201,A35)=1,OR(LEFT(B35,2)="V-",LEFT(B35,4)="SYN-"),LEN(MID(B35,IF(LEFT(B35,2)="V-",3,5),30))&gt;0,ISNUMBER(VALUE(MID(B35,IF(LEFT(B35,2)="V-",3,5),30))),VALUE(MID(B35,IF(LEFT(B35,2)="V-",3,5),30))&gt;=0,MOD(VALUE(MID(B35,IF(LEFT(B35,2)="V-",3,5),30)),1)=0,COUNTIFS(Slots!$A$2:$A$31,"E1",Slots!$B$2:$B$31,C35)=1,ISNUMBER(SEARCH("|"&amp;D35&amp;"|","|"&amp;Settings!$B$9&amp;"|")),OR(E35="regular",E35="first"),OR(F35="include",F35="duplicate",F35="late"),OR(H35="yes",H35="no"),OR(I35="success",I35="failed",I35="unknown",I35="not_sent"),OR(K35="yes",K35="no",K35="none",K35="conflict",K35="unknown"),OR(L35="text",L35="emoji",L35="voice",L35="none",L35="unknown"),OR(M35="yes",M35="no",M35="unknown"),OR(N35="yes",N35="no",N35="unknown"),ISNUMBER(O35),OR(O35=0,O35=1),OR(P35="",P35="soft_yes",P35="forgot",P35="time_place",P35="clash",P35="travel",P35="personal",P35="unknown",P35="silent_but_came"),OR(I35&lt;&gt;"success",AND(J35&lt;&gt;"",COUNTIFS($J$2:$J$201,J35,$I$2:$I$201,"success")=1)),OR(I35&lt;&gt;"not_sent",J35=""),IF(F35="duplicate",AND(COUNTIFS($A$2:$A$201,G35,$B$2:$B$201,B35,$C$2:$C$201,C35,$F$2:$F$201,"include")=1,H35="no",I35="not_sent",K35="none",M35="no",N35="no",O35=0),AND(G35="",N35&lt;&gt;"unknown",COUNTIFS($B$2:$B$201,B35,$F$2:$F$201,"&lt;&gt;duplicate")=1)),IF(F35="include",AND(H35="yes",K35&lt;&gt;"conflict",K35&lt;&gt;"unknown",M35&lt;&gt;"unknown",IF(OR(K35="yes",K35="no"),AND(M35="yes",OR(L35="text",L35="emoji",L35="voice")),L35="none")),TRUE),IF(F35="late",AND(H35="no",I35="not_sent",K35="none",L35="none",O35=0),TRUE)),"OK","CHECK"),"CHECK"))</x:f>
      </x:c>
      <x:c r="R35" s="3"/>
    </x:row>
    <x:row r="36" ht="22" customHeight="1">
      <x:c r="A36" s="8"/>
      <x:c r="B36" s="8"/>
      <x:c r="C36" s="8"/>
      <x:c r="D36" s="8"/>
      <x:c r="E36" s="7"/>
      <x:c r="F36" s="7"/>
      <x:c r="G36" s="7"/>
      <x:c r="H36" s="7"/>
      <x:c r="I36" s="7"/>
      <x:c r="J36" s="8"/>
      <x:c r="K36" s="7"/>
      <x:c r="L36" s="7"/>
      <x:c r="M36" s="7"/>
      <x:c r="N36" s="7"/>
      <x:c r="O36" s="7"/>
      <x:c r="P36" s="7"/>
      <x:c r="Q36" s="3" t="str">
        <x:f>IF(COUNTA(A36:P36)=0,"",IFERROR(IF(AND(A36&lt;&gt;"",COUNTIF($A$2:$A$201,A36)=1,OR(LEFT(B36,2)="V-",LEFT(B36,4)="SYN-"),LEN(MID(B36,IF(LEFT(B36,2)="V-",3,5),30))&gt;0,ISNUMBER(VALUE(MID(B36,IF(LEFT(B36,2)="V-",3,5),30))),VALUE(MID(B36,IF(LEFT(B36,2)="V-",3,5),30))&gt;=0,MOD(VALUE(MID(B36,IF(LEFT(B36,2)="V-",3,5),30)),1)=0,COUNTIFS(Slots!$A$2:$A$31,"E1",Slots!$B$2:$B$31,C36)=1,ISNUMBER(SEARCH("|"&amp;D36&amp;"|","|"&amp;Settings!$B$9&amp;"|")),OR(E36="regular",E36="first"),OR(F36="include",F36="duplicate",F36="late"),OR(H36="yes",H36="no"),OR(I36="success",I36="failed",I36="unknown",I36="not_sent"),OR(K36="yes",K36="no",K36="none",K36="conflict",K36="unknown"),OR(L36="text",L36="emoji",L36="voice",L36="none",L36="unknown"),OR(M36="yes",M36="no",M36="unknown"),OR(N36="yes",N36="no",N36="unknown"),ISNUMBER(O36),OR(O36=0,O36=1),OR(P36="",P36="soft_yes",P36="forgot",P36="time_place",P36="clash",P36="travel",P36="personal",P36="unknown",P36="silent_but_came"),OR(I36&lt;&gt;"success",AND(J36&lt;&gt;"",COUNTIFS($J$2:$J$201,J36,$I$2:$I$201,"success")=1)),OR(I36&lt;&gt;"not_sent",J36=""),IF(F36="duplicate",AND(COUNTIFS($A$2:$A$201,G36,$B$2:$B$201,B36,$C$2:$C$201,C36,$F$2:$F$201,"include")=1,H36="no",I36="not_sent",K36="none",M36="no",N36="no",O36=0),AND(G36="",N36&lt;&gt;"unknown",COUNTIFS($B$2:$B$201,B36,$F$2:$F$201,"&lt;&gt;duplicate")=1)),IF(F36="include",AND(H36="yes",K36&lt;&gt;"conflict",K36&lt;&gt;"unknown",M36&lt;&gt;"unknown",IF(OR(K36="yes",K36="no"),AND(M36="yes",OR(L36="text",L36="emoji",L36="voice")),L36="none")),TRUE),IF(F36="late",AND(H36="no",I36="not_sent",K36="none",L36="none",O36=0),TRUE)),"OK","CHECK"),"CHECK"))</x:f>
      </x:c>
      <x:c r="R36" s="3"/>
    </x:row>
    <x:row r="37" ht="22" customHeight="1">
      <x:c r="A37" s="8"/>
      <x:c r="B37" s="8"/>
      <x:c r="C37" s="8"/>
      <x:c r="D37" s="8"/>
      <x:c r="E37" s="7"/>
      <x:c r="F37" s="7"/>
      <x:c r="G37" s="7"/>
      <x:c r="H37" s="7"/>
      <x:c r="I37" s="7"/>
      <x:c r="J37" s="8"/>
      <x:c r="K37" s="7"/>
      <x:c r="L37" s="7"/>
      <x:c r="M37" s="7"/>
      <x:c r="N37" s="7"/>
      <x:c r="O37" s="7"/>
      <x:c r="P37" s="7"/>
      <x:c r="Q37" s="3" t="str">
        <x:f>IF(COUNTA(A37:P37)=0,"",IFERROR(IF(AND(A37&lt;&gt;"",COUNTIF($A$2:$A$201,A37)=1,OR(LEFT(B37,2)="V-",LEFT(B37,4)="SYN-"),LEN(MID(B37,IF(LEFT(B37,2)="V-",3,5),30))&gt;0,ISNUMBER(VALUE(MID(B37,IF(LEFT(B37,2)="V-",3,5),30))),VALUE(MID(B37,IF(LEFT(B37,2)="V-",3,5),30))&gt;=0,MOD(VALUE(MID(B37,IF(LEFT(B37,2)="V-",3,5),30)),1)=0,COUNTIFS(Slots!$A$2:$A$31,"E1",Slots!$B$2:$B$31,C37)=1,ISNUMBER(SEARCH("|"&amp;D37&amp;"|","|"&amp;Settings!$B$9&amp;"|")),OR(E37="regular",E37="first"),OR(F37="include",F37="duplicate",F37="late"),OR(H37="yes",H37="no"),OR(I37="success",I37="failed",I37="unknown",I37="not_sent"),OR(K37="yes",K37="no",K37="none",K37="conflict",K37="unknown"),OR(L37="text",L37="emoji",L37="voice",L37="none",L37="unknown"),OR(M37="yes",M37="no",M37="unknown"),OR(N37="yes",N37="no",N37="unknown"),ISNUMBER(O37),OR(O37=0,O37=1),OR(P37="",P37="soft_yes",P37="forgot",P37="time_place",P37="clash",P37="travel",P37="personal",P37="unknown",P37="silent_but_came"),OR(I37&lt;&gt;"success",AND(J37&lt;&gt;"",COUNTIFS($J$2:$J$201,J37,$I$2:$I$201,"success")=1)),OR(I37&lt;&gt;"not_sent",J37=""),IF(F37="duplicate",AND(COUNTIFS($A$2:$A$201,G37,$B$2:$B$201,B37,$C$2:$C$201,C37,$F$2:$F$201,"include")=1,H37="no",I37="not_sent",K37="none",M37="no",N37="no",O37=0),AND(G37="",N37&lt;&gt;"unknown",COUNTIFS($B$2:$B$201,B37,$F$2:$F$201,"&lt;&gt;duplicate")=1)),IF(F37="include",AND(H37="yes",K37&lt;&gt;"conflict",K37&lt;&gt;"unknown",M37&lt;&gt;"unknown",IF(OR(K37="yes",K37="no"),AND(M37="yes",OR(L37="text",L37="emoji",L37="voice")),L37="none")),TRUE),IF(F37="late",AND(H37="no",I37="not_sent",K37="none",L37="none",O37=0),TRUE)),"OK","CHECK"),"CHECK"))</x:f>
      </x:c>
      <x:c r="R37" s="3"/>
    </x:row>
    <x:row r="38" ht="22" customHeight="1">
      <x:c r="A38" s="8"/>
      <x:c r="B38" s="8"/>
      <x:c r="C38" s="8"/>
      <x:c r="D38" s="8"/>
      <x:c r="E38" s="7"/>
      <x:c r="F38" s="7"/>
      <x:c r="G38" s="7"/>
      <x:c r="H38" s="7"/>
      <x:c r="I38" s="7"/>
      <x:c r="J38" s="8"/>
      <x:c r="K38" s="7"/>
      <x:c r="L38" s="7"/>
      <x:c r="M38" s="7"/>
      <x:c r="N38" s="7"/>
      <x:c r="O38" s="7"/>
      <x:c r="P38" s="7"/>
      <x:c r="Q38" s="3" t="str">
        <x:f>IF(COUNTA(A38:P38)=0,"",IFERROR(IF(AND(A38&lt;&gt;"",COUNTIF($A$2:$A$201,A38)=1,OR(LEFT(B38,2)="V-",LEFT(B38,4)="SYN-"),LEN(MID(B38,IF(LEFT(B38,2)="V-",3,5),30))&gt;0,ISNUMBER(VALUE(MID(B38,IF(LEFT(B38,2)="V-",3,5),30))),VALUE(MID(B38,IF(LEFT(B38,2)="V-",3,5),30))&gt;=0,MOD(VALUE(MID(B38,IF(LEFT(B38,2)="V-",3,5),30)),1)=0,COUNTIFS(Slots!$A$2:$A$31,"E1",Slots!$B$2:$B$31,C38)=1,ISNUMBER(SEARCH("|"&amp;D38&amp;"|","|"&amp;Settings!$B$9&amp;"|")),OR(E38="regular",E38="first"),OR(F38="include",F38="duplicate",F38="late"),OR(H38="yes",H38="no"),OR(I38="success",I38="failed",I38="unknown",I38="not_sent"),OR(K38="yes",K38="no",K38="none",K38="conflict",K38="unknown"),OR(L38="text",L38="emoji",L38="voice",L38="none",L38="unknown"),OR(M38="yes",M38="no",M38="unknown"),OR(N38="yes",N38="no",N38="unknown"),ISNUMBER(O38),OR(O38=0,O38=1),OR(P38="",P38="soft_yes",P38="forgot",P38="time_place",P38="clash",P38="travel",P38="personal",P38="unknown",P38="silent_but_came"),OR(I38&lt;&gt;"success",AND(J38&lt;&gt;"",COUNTIFS($J$2:$J$201,J38,$I$2:$I$201,"success")=1)),OR(I38&lt;&gt;"not_sent",J38=""),IF(F38="duplicate",AND(COUNTIFS($A$2:$A$201,G38,$B$2:$B$201,B38,$C$2:$C$201,C38,$F$2:$F$201,"include")=1,H38="no",I38="not_sent",K38="none",M38="no",N38="no",O38=0),AND(G38="",N38&lt;&gt;"unknown",COUNTIFS($B$2:$B$201,B38,$F$2:$F$201,"&lt;&gt;duplicate")=1)),IF(F38="include",AND(H38="yes",K38&lt;&gt;"conflict",K38&lt;&gt;"unknown",M38&lt;&gt;"unknown",IF(OR(K38="yes",K38="no"),AND(M38="yes",OR(L38="text",L38="emoji",L38="voice")),L38="none")),TRUE),IF(F38="late",AND(H38="no",I38="not_sent",K38="none",L38="none",O38=0),TRUE)),"OK","CHECK"),"CHECK"))</x:f>
      </x:c>
      <x:c r="R38" s="3"/>
    </x:row>
    <x:row r="39" ht="22" customHeight="1">
      <x:c r="A39" s="8"/>
      <x:c r="B39" s="8"/>
      <x:c r="C39" s="8"/>
      <x:c r="D39" s="8"/>
      <x:c r="E39" s="7"/>
      <x:c r="F39" s="7"/>
      <x:c r="G39" s="7"/>
      <x:c r="H39" s="7"/>
      <x:c r="I39" s="7"/>
      <x:c r="J39" s="8"/>
      <x:c r="K39" s="7"/>
      <x:c r="L39" s="7"/>
      <x:c r="M39" s="7"/>
      <x:c r="N39" s="7"/>
      <x:c r="O39" s="7"/>
      <x:c r="P39" s="7"/>
      <x:c r="Q39" s="3" t="str">
        <x:f>IF(COUNTA(A39:P39)=0,"",IFERROR(IF(AND(A39&lt;&gt;"",COUNTIF($A$2:$A$201,A39)=1,OR(LEFT(B39,2)="V-",LEFT(B39,4)="SYN-"),LEN(MID(B39,IF(LEFT(B39,2)="V-",3,5),30))&gt;0,ISNUMBER(VALUE(MID(B39,IF(LEFT(B39,2)="V-",3,5),30))),VALUE(MID(B39,IF(LEFT(B39,2)="V-",3,5),30))&gt;=0,MOD(VALUE(MID(B39,IF(LEFT(B39,2)="V-",3,5),30)),1)=0,COUNTIFS(Slots!$A$2:$A$31,"E1",Slots!$B$2:$B$31,C39)=1,ISNUMBER(SEARCH("|"&amp;D39&amp;"|","|"&amp;Settings!$B$9&amp;"|")),OR(E39="regular",E39="first"),OR(F39="include",F39="duplicate",F39="late"),OR(H39="yes",H39="no"),OR(I39="success",I39="failed",I39="unknown",I39="not_sent"),OR(K39="yes",K39="no",K39="none",K39="conflict",K39="unknown"),OR(L39="text",L39="emoji",L39="voice",L39="none",L39="unknown"),OR(M39="yes",M39="no",M39="unknown"),OR(N39="yes",N39="no",N39="unknown"),ISNUMBER(O39),OR(O39=0,O39=1),OR(P39="",P39="soft_yes",P39="forgot",P39="time_place",P39="clash",P39="travel",P39="personal",P39="unknown",P39="silent_but_came"),OR(I39&lt;&gt;"success",AND(J39&lt;&gt;"",COUNTIFS($J$2:$J$201,J39,$I$2:$I$201,"success")=1)),OR(I39&lt;&gt;"not_sent",J39=""),IF(F39="duplicate",AND(COUNTIFS($A$2:$A$201,G39,$B$2:$B$201,B39,$C$2:$C$201,C39,$F$2:$F$201,"include")=1,H39="no",I39="not_sent",K39="none",M39="no",N39="no",O39=0),AND(G39="",N39&lt;&gt;"unknown",COUNTIFS($B$2:$B$201,B39,$F$2:$F$201,"&lt;&gt;duplicate")=1)),IF(F39="include",AND(H39="yes",K39&lt;&gt;"conflict",K39&lt;&gt;"unknown",M39&lt;&gt;"unknown",IF(OR(K39="yes",K39="no"),AND(M39="yes",OR(L39="text",L39="emoji",L39="voice")),L39="none")),TRUE),IF(F39="late",AND(H39="no",I39="not_sent",K39="none",L39="none",O39=0),TRUE)),"OK","CHECK"),"CHECK"))</x:f>
      </x:c>
      <x:c r="R39" s="3"/>
    </x:row>
    <x:row r="40" ht="22" customHeight="1">
      <x:c r="A40" s="8"/>
      <x:c r="B40" s="8"/>
      <x:c r="C40" s="8"/>
      <x:c r="D40" s="8"/>
      <x:c r="E40" s="7"/>
      <x:c r="F40" s="7"/>
      <x:c r="G40" s="7"/>
      <x:c r="H40" s="7"/>
      <x:c r="I40" s="7"/>
      <x:c r="J40" s="8"/>
      <x:c r="K40" s="7"/>
      <x:c r="L40" s="7"/>
      <x:c r="M40" s="7"/>
      <x:c r="N40" s="7"/>
      <x:c r="O40" s="7"/>
      <x:c r="P40" s="7"/>
      <x:c r="Q40" s="3" t="str">
        <x:f>IF(COUNTA(A40:P40)=0,"",IFERROR(IF(AND(A40&lt;&gt;"",COUNTIF($A$2:$A$201,A40)=1,OR(LEFT(B40,2)="V-",LEFT(B40,4)="SYN-"),LEN(MID(B40,IF(LEFT(B40,2)="V-",3,5),30))&gt;0,ISNUMBER(VALUE(MID(B40,IF(LEFT(B40,2)="V-",3,5),30))),VALUE(MID(B40,IF(LEFT(B40,2)="V-",3,5),30))&gt;=0,MOD(VALUE(MID(B40,IF(LEFT(B40,2)="V-",3,5),30)),1)=0,COUNTIFS(Slots!$A$2:$A$31,"E1",Slots!$B$2:$B$31,C40)=1,ISNUMBER(SEARCH("|"&amp;D40&amp;"|","|"&amp;Settings!$B$9&amp;"|")),OR(E40="regular",E40="first"),OR(F40="include",F40="duplicate",F40="late"),OR(H40="yes",H40="no"),OR(I40="success",I40="failed",I40="unknown",I40="not_sent"),OR(K40="yes",K40="no",K40="none",K40="conflict",K40="unknown"),OR(L40="text",L40="emoji",L40="voice",L40="none",L40="unknown"),OR(M40="yes",M40="no",M40="unknown"),OR(N40="yes",N40="no",N40="unknown"),ISNUMBER(O40),OR(O40=0,O40=1),OR(P40="",P40="soft_yes",P40="forgot",P40="time_place",P40="clash",P40="travel",P40="personal",P40="unknown",P40="silent_but_came"),OR(I40&lt;&gt;"success",AND(J40&lt;&gt;"",COUNTIFS($J$2:$J$201,J40,$I$2:$I$201,"success")=1)),OR(I40&lt;&gt;"not_sent",J40=""),IF(F40="duplicate",AND(COUNTIFS($A$2:$A$201,G40,$B$2:$B$201,B40,$C$2:$C$201,C40,$F$2:$F$201,"include")=1,H40="no",I40="not_sent",K40="none",M40="no",N40="no",O40=0),AND(G40="",N40&lt;&gt;"unknown",COUNTIFS($B$2:$B$201,B40,$F$2:$F$201,"&lt;&gt;duplicate")=1)),IF(F40="include",AND(H40="yes",K40&lt;&gt;"conflict",K40&lt;&gt;"unknown",M40&lt;&gt;"unknown",IF(OR(K40="yes",K40="no"),AND(M40="yes",OR(L40="text",L40="emoji",L40="voice")),L40="none")),TRUE),IF(F40="late",AND(H40="no",I40="not_sent",K40="none",L40="none",O40=0),TRUE)),"OK","CHECK"),"CHECK"))</x:f>
      </x:c>
      <x:c r="R40" s="3"/>
    </x:row>
    <x:row r="41" ht="22" customHeight="1">
      <x:c r="A41" s="8"/>
      <x:c r="B41" s="8"/>
      <x:c r="C41" s="8"/>
      <x:c r="D41" s="8"/>
      <x:c r="E41" s="7"/>
      <x:c r="F41" s="7"/>
      <x:c r="G41" s="7"/>
      <x:c r="H41" s="7"/>
      <x:c r="I41" s="7"/>
      <x:c r="J41" s="8"/>
      <x:c r="K41" s="7"/>
      <x:c r="L41" s="7"/>
      <x:c r="M41" s="7"/>
      <x:c r="N41" s="7"/>
      <x:c r="O41" s="7"/>
      <x:c r="P41" s="7"/>
      <x:c r="Q41" s="3" t="str">
        <x:f>IF(COUNTA(A41:P41)=0,"",IFERROR(IF(AND(A41&lt;&gt;"",COUNTIF($A$2:$A$201,A41)=1,OR(LEFT(B41,2)="V-",LEFT(B41,4)="SYN-"),LEN(MID(B41,IF(LEFT(B41,2)="V-",3,5),30))&gt;0,ISNUMBER(VALUE(MID(B41,IF(LEFT(B41,2)="V-",3,5),30))),VALUE(MID(B41,IF(LEFT(B41,2)="V-",3,5),30))&gt;=0,MOD(VALUE(MID(B41,IF(LEFT(B41,2)="V-",3,5),30)),1)=0,COUNTIFS(Slots!$A$2:$A$31,"E1",Slots!$B$2:$B$31,C41)=1,ISNUMBER(SEARCH("|"&amp;D41&amp;"|","|"&amp;Settings!$B$9&amp;"|")),OR(E41="regular",E41="first"),OR(F41="include",F41="duplicate",F41="late"),OR(H41="yes",H41="no"),OR(I41="success",I41="failed",I41="unknown",I41="not_sent"),OR(K41="yes",K41="no",K41="none",K41="conflict",K41="unknown"),OR(L41="text",L41="emoji",L41="voice",L41="none",L41="unknown"),OR(M41="yes",M41="no",M41="unknown"),OR(N41="yes",N41="no",N41="unknown"),ISNUMBER(O41),OR(O41=0,O41=1),OR(P41="",P41="soft_yes",P41="forgot",P41="time_place",P41="clash",P41="travel",P41="personal",P41="unknown",P41="silent_but_came"),OR(I41&lt;&gt;"success",AND(J41&lt;&gt;"",COUNTIFS($J$2:$J$201,J41,$I$2:$I$201,"success")=1)),OR(I41&lt;&gt;"not_sent",J41=""),IF(F41="duplicate",AND(COUNTIFS($A$2:$A$201,G41,$B$2:$B$201,B41,$C$2:$C$201,C41,$F$2:$F$201,"include")=1,H41="no",I41="not_sent",K41="none",M41="no",N41="no",O41=0),AND(G41="",N41&lt;&gt;"unknown",COUNTIFS($B$2:$B$201,B41,$F$2:$F$201,"&lt;&gt;duplicate")=1)),IF(F41="include",AND(H41="yes",K41&lt;&gt;"conflict",K41&lt;&gt;"unknown",M41&lt;&gt;"unknown",IF(OR(K41="yes",K41="no"),AND(M41="yes",OR(L41="text",L41="emoji",L41="voice")),L41="none")),TRUE),IF(F41="late",AND(H41="no",I41="not_sent",K41="none",L41="none",O41=0),TRUE)),"OK","CHECK"),"CHECK"))</x:f>
      </x:c>
      <x:c r="R41" s="3"/>
    </x:row>
    <x:row r="42" ht="22" customHeight="1">
      <x:c r="A42" s="8"/>
      <x:c r="B42" s="8"/>
      <x:c r="C42" s="8"/>
      <x:c r="D42" s="8"/>
      <x:c r="E42" s="7"/>
      <x:c r="F42" s="7"/>
      <x:c r="G42" s="7"/>
      <x:c r="H42" s="7"/>
      <x:c r="I42" s="7"/>
      <x:c r="J42" s="8"/>
      <x:c r="K42" s="7"/>
      <x:c r="L42" s="7"/>
      <x:c r="M42" s="7"/>
      <x:c r="N42" s="7"/>
      <x:c r="O42" s="7"/>
      <x:c r="P42" s="7"/>
      <x:c r="Q42" s="3" t="str">
        <x:f>IF(COUNTA(A42:P42)=0,"",IFERROR(IF(AND(A42&lt;&gt;"",COUNTIF($A$2:$A$201,A42)=1,OR(LEFT(B42,2)="V-",LEFT(B42,4)="SYN-"),LEN(MID(B42,IF(LEFT(B42,2)="V-",3,5),30))&gt;0,ISNUMBER(VALUE(MID(B42,IF(LEFT(B42,2)="V-",3,5),30))),VALUE(MID(B42,IF(LEFT(B42,2)="V-",3,5),30))&gt;=0,MOD(VALUE(MID(B42,IF(LEFT(B42,2)="V-",3,5),30)),1)=0,COUNTIFS(Slots!$A$2:$A$31,"E1",Slots!$B$2:$B$31,C42)=1,ISNUMBER(SEARCH("|"&amp;D42&amp;"|","|"&amp;Settings!$B$9&amp;"|")),OR(E42="regular",E42="first"),OR(F42="include",F42="duplicate",F42="late"),OR(H42="yes",H42="no"),OR(I42="success",I42="failed",I42="unknown",I42="not_sent"),OR(K42="yes",K42="no",K42="none",K42="conflict",K42="unknown"),OR(L42="text",L42="emoji",L42="voice",L42="none",L42="unknown"),OR(M42="yes",M42="no",M42="unknown"),OR(N42="yes",N42="no",N42="unknown"),ISNUMBER(O42),OR(O42=0,O42=1),OR(P42="",P42="soft_yes",P42="forgot",P42="time_place",P42="clash",P42="travel",P42="personal",P42="unknown",P42="silent_but_came"),OR(I42&lt;&gt;"success",AND(J42&lt;&gt;"",COUNTIFS($J$2:$J$201,J42,$I$2:$I$201,"success")=1)),OR(I42&lt;&gt;"not_sent",J42=""),IF(F42="duplicate",AND(COUNTIFS($A$2:$A$201,G42,$B$2:$B$201,B42,$C$2:$C$201,C42,$F$2:$F$201,"include")=1,H42="no",I42="not_sent",K42="none",M42="no",N42="no",O42=0),AND(G42="",N42&lt;&gt;"unknown",COUNTIFS($B$2:$B$201,B42,$F$2:$F$201,"&lt;&gt;duplicate")=1)),IF(F42="include",AND(H42="yes",K42&lt;&gt;"conflict",K42&lt;&gt;"unknown",M42&lt;&gt;"unknown",IF(OR(K42="yes",K42="no"),AND(M42="yes",OR(L42="text",L42="emoji",L42="voice")),L42="none")),TRUE),IF(F42="late",AND(H42="no",I42="not_sent",K42="none",L42="none",O42=0),TRUE)),"OK","CHECK"),"CHECK"))</x:f>
      </x:c>
      <x:c r="R42" s="3"/>
    </x:row>
    <x:row r="43" ht="22" customHeight="1">
      <x:c r="A43" s="8"/>
      <x:c r="B43" s="8"/>
      <x:c r="C43" s="8"/>
      <x:c r="D43" s="8"/>
      <x:c r="E43" s="7"/>
      <x:c r="F43" s="7"/>
      <x:c r="G43" s="7"/>
      <x:c r="H43" s="7"/>
      <x:c r="I43" s="7"/>
      <x:c r="J43" s="8"/>
      <x:c r="K43" s="7"/>
      <x:c r="L43" s="7"/>
      <x:c r="M43" s="7"/>
      <x:c r="N43" s="7"/>
      <x:c r="O43" s="7"/>
      <x:c r="P43" s="7"/>
      <x:c r="Q43" s="3" t="str">
        <x:f>IF(COUNTA(A43:P43)=0,"",IFERROR(IF(AND(A43&lt;&gt;"",COUNTIF($A$2:$A$201,A43)=1,OR(LEFT(B43,2)="V-",LEFT(B43,4)="SYN-"),LEN(MID(B43,IF(LEFT(B43,2)="V-",3,5),30))&gt;0,ISNUMBER(VALUE(MID(B43,IF(LEFT(B43,2)="V-",3,5),30))),VALUE(MID(B43,IF(LEFT(B43,2)="V-",3,5),30))&gt;=0,MOD(VALUE(MID(B43,IF(LEFT(B43,2)="V-",3,5),30)),1)=0,COUNTIFS(Slots!$A$2:$A$31,"E1",Slots!$B$2:$B$31,C43)=1,ISNUMBER(SEARCH("|"&amp;D43&amp;"|","|"&amp;Settings!$B$9&amp;"|")),OR(E43="regular",E43="first"),OR(F43="include",F43="duplicate",F43="late"),OR(H43="yes",H43="no"),OR(I43="success",I43="failed",I43="unknown",I43="not_sent"),OR(K43="yes",K43="no",K43="none",K43="conflict",K43="unknown"),OR(L43="text",L43="emoji",L43="voice",L43="none",L43="unknown"),OR(M43="yes",M43="no",M43="unknown"),OR(N43="yes",N43="no",N43="unknown"),ISNUMBER(O43),OR(O43=0,O43=1),OR(P43="",P43="soft_yes",P43="forgot",P43="time_place",P43="clash",P43="travel",P43="personal",P43="unknown",P43="silent_but_came"),OR(I43&lt;&gt;"success",AND(J43&lt;&gt;"",COUNTIFS($J$2:$J$201,J43,$I$2:$I$201,"success")=1)),OR(I43&lt;&gt;"not_sent",J43=""),IF(F43="duplicate",AND(COUNTIFS($A$2:$A$201,G43,$B$2:$B$201,B43,$C$2:$C$201,C43,$F$2:$F$201,"include")=1,H43="no",I43="not_sent",K43="none",M43="no",N43="no",O43=0),AND(G43="",N43&lt;&gt;"unknown",COUNTIFS($B$2:$B$201,B43,$F$2:$F$201,"&lt;&gt;duplicate")=1)),IF(F43="include",AND(H43="yes",K43&lt;&gt;"conflict",K43&lt;&gt;"unknown",M43&lt;&gt;"unknown",IF(OR(K43="yes",K43="no"),AND(M43="yes",OR(L43="text",L43="emoji",L43="voice")),L43="none")),TRUE),IF(F43="late",AND(H43="no",I43="not_sent",K43="none",L43="none",O43=0),TRUE)),"OK","CHECK"),"CHECK"))</x:f>
      </x:c>
      <x:c r="R43" s="3"/>
    </x:row>
    <x:row r="44" ht="22" customHeight="1">
      <x:c r="A44" s="8"/>
      <x:c r="B44" s="8"/>
      <x:c r="C44" s="8"/>
      <x:c r="D44" s="8"/>
      <x:c r="E44" s="7"/>
      <x:c r="F44" s="7"/>
      <x:c r="G44" s="7"/>
      <x:c r="H44" s="7"/>
      <x:c r="I44" s="7"/>
      <x:c r="J44" s="8"/>
      <x:c r="K44" s="7"/>
      <x:c r="L44" s="7"/>
      <x:c r="M44" s="7"/>
      <x:c r="N44" s="7"/>
      <x:c r="O44" s="7"/>
      <x:c r="P44" s="7"/>
      <x:c r="Q44" s="3" t="str">
        <x:f>IF(COUNTA(A44:P44)=0,"",IFERROR(IF(AND(A44&lt;&gt;"",COUNTIF($A$2:$A$201,A44)=1,OR(LEFT(B44,2)="V-",LEFT(B44,4)="SYN-"),LEN(MID(B44,IF(LEFT(B44,2)="V-",3,5),30))&gt;0,ISNUMBER(VALUE(MID(B44,IF(LEFT(B44,2)="V-",3,5),30))),VALUE(MID(B44,IF(LEFT(B44,2)="V-",3,5),30))&gt;=0,MOD(VALUE(MID(B44,IF(LEFT(B44,2)="V-",3,5),30)),1)=0,COUNTIFS(Slots!$A$2:$A$31,"E1",Slots!$B$2:$B$31,C44)=1,ISNUMBER(SEARCH("|"&amp;D44&amp;"|","|"&amp;Settings!$B$9&amp;"|")),OR(E44="regular",E44="first"),OR(F44="include",F44="duplicate",F44="late"),OR(H44="yes",H44="no"),OR(I44="success",I44="failed",I44="unknown",I44="not_sent"),OR(K44="yes",K44="no",K44="none",K44="conflict",K44="unknown"),OR(L44="text",L44="emoji",L44="voice",L44="none",L44="unknown"),OR(M44="yes",M44="no",M44="unknown"),OR(N44="yes",N44="no",N44="unknown"),ISNUMBER(O44),OR(O44=0,O44=1),OR(P44="",P44="soft_yes",P44="forgot",P44="time_place",P44="clash",P44="travel",P44="personal",P44="unknown",P44="silent_but_came"),OR(I44&lt;&gt;"success",AND(J44&lt;&gt;"",COUNTIFS($J$2:$J$201,J44,$I$2:$I$201,"success")=1)),OR(I44&lt;&gt;"not_sent",J44=""),IF(F44="duplicate",AND(COUNTIFS($A$2:$A$201,G44,$B$2:$B$201,B44,$C$2:$C$201,C44,$F$2:$F$201,"include")=1,H44="no",I44="not_sent",K44="none",M44="no",N44="no",O44=0),AND(G44="",N44&lt;&gt;"unknown",COUNTIFS($B$2:$B$201,B44,$F$2:$F$201,"&lt;&gt;duplicate")=1)),IF(F44="include",AND(H44="yes",K44&lt;&gt;"conflict",K44&lt;&gt;"unknown",M44&lt;&gt;"unknown",IF(OR(K44="yes",K44="no"),AND(M44="yes",OR(L44="text",L44="emoji",L44="voice")),L44="none")),TRUE),IF(F44="late",AND(H44="no",I44="not_sent",K44="none",L44="none",O44=0),TRUE)),"OK","CHECK"),"CHECK"))</x:f>
      </x:c>
      <x:c r="R44" s="3"/>
    </x:row>
    <x:row r="45" ht="22" customHeight="1">
      <x:c r="A45" s="8"/>
      <x:c r="B45" s="8"/>
      <x:c r="C45" s="8"/>
      <x:c r="D45" s="8"/>
      <x:c r="E45" s="7"/>
      <x:c r="F45" s="7"/>
      <x:c r="G45" s="7"/>
      <x:c r="H45" s="7"/>
      <x:c r="I45" s="7"/>
      <x:c r="J45" s="8"/>
      <x:c r="K45" s="7"/>
      <x:c r="L45" s="7"/>
      <x:c r="M45" s="7"/>
      <x:c r="N45" s="7"/>
      <x:c r="O45" s="7"/>
      <x:c r="P45" s="7"/>
      <x:c r="Q45" s="3" t="str">
        <x:f>IF(COUNTA(A45:P45)=0,"",IFERROR(IF(AND(A45&lt;&gt;"",COUNTIF($A$2:$A$201,A45)=1,OR(LEFT(B45,2)="V-",LEFT(B45,4)="SYN-"),LEN(MID(B45,IF(LEFT(B45,2)="V-",3,5),30))&gt;0,ISNUMBER(VALUE(MID(B45,IF(LEFT(B45,2)="V-",3,5),30))),VALUE(MID(B45,IF(LEFT(B45,2)="V-",3,5),30))&gt;=0,MOD(VALUE(MID(B45,IF(LEFT(B45,2)="V-",3,5),30)),1)=0,COUNTIFS(Slots!$A$2:$A$31,"E1",Slots!$B$2:$B$31,C45)=1,ISNUMBER(SEARCH("|"&amp;D45&amp;"|","|"&amp;Settings!$B$9&amp;"|")),OR(E45="regular",E45="first"),OR(F45="include",F45="duplicate",F45="late"),OR(H45="yes",H45="no"),OR(I45="success",I45="failed",I45="unknown",I45="not_sent"),OR(K45="yes",K45="no",K45="none",K45="conflict",K45="unknown"),OR(L45="text",L45="emoji",L45="voice",L45="none",L45="unknown"),OR(M45="yes",M45="no",M45="unknown"),OR(N45="yes",N45="no",N45="unknown"),ISNUMBER(O45),OR(O45=0,O45=1),OR(P45="",P45="soft_yes",P45="forgot",P45="time_place",P45="clash",P45="travel",P45="personal",P45="unknown",P45="silent_but_came"),OR(I45&lt;&gt;"success",AND(J45&lt;&gt;"",COUNTIFS($J$2:$J$201,J45,$I$2:$I$201,"success")=1)),OR(I45&lt;&gt;"not_sent",J45=""),IF(F45="duplicate",AND(COUNTIFS($A$2:$A$201,G45,$B$2:$B$201,B45,$C$2:$C$201,C45,$F$2:$F$201,"include")=1,H45="no",I45="not_sent",K45="none",M45="no",N45="no",O45=0),AND(G45="",N45&lt;&gt;"unknown",COUNTIFS($B$2:$B$201,B45,$F$2:$F$201,"&lt;&gt;duplicate")=1)),IF(F45="include",AND(H45="yes",K45&lt;&gt;"conflict",K45&lt;&gt;"unknown",M45&lt;&gt;"unknown",IF(OR(K45="yes",K45="no"),AND(M45="yes",OR(L45="text",L45="emoji",L45="voice")),L45="none")),TRUE),IF(F45="late",AND(H45="no",I45="not_sent",K45="none",L45="none",O45=0),TRUE)),"OK","CHECK"),"CHECK"))</x:f>
      </x:c>
      <x:c r="R45" s="3"/>
    </x:row>
    <x:row r="46" ht="22" customHeight="1">
      <x:c r="A46" s="8"/>
      <x:c r="B46" s="8"/>
      <x:c r="C46" s="8"/>
      <x:c r="D46" s="8"/>
      <x:c r="E46" s="7"/>
      <x:c r="F46" s="7"/>
      <x:c r="G46" s="7"/>
      <x:c r="H46" s="7"/>
      <x:c r="I46" s="7"/>
      <x:c r="J46" s="8"/>
      <x:c r="K46" s="7"/>
      <x:c r="L46" s="7"/>
      <x:c r="M46" s="7"/>
      <x:c r="N46" s="7"/>
      <x:c r="O46" s="7"/>
      <x:c r="P46" s="7"/>
      <x:c r="Q46" s="3" t="str">
        <x:f>IF(COUNTA(A46:P46)=0,"",IFERROR(IF(AND(A46&lt;&gt;"",COUNTIF($A$2:$A$201,A46)=1,OR(LEFT(B46,2)="V-",LEFT(B46,4)="SYN-"),LEN(MID(B46,IF(LEFT(B46,2)="V-",3,5),30))&gt;0,ISNUMBER(VALUE(MID(B46,IF(LEFT(B46,2)="V-",3,5),30))),VALUE(MID(B46,IF(LEFT(B46,2)="V-",3,5),30))&gt;=0,MOD(VALUE(MID(B46,IF(LEFT(B46,2)="V-",3,5),30)),1)=0,COUNTIFS(Slots!$A$2:$A$31,"E1",Slots!$B$2:$B$31,C46)=1,ISNUMBER(SEARCH("|"&amp;D46&amp;"|","|"&amp;Settings!$B$9&amp;"|")),OR(E46="regular",E46="first"),OR(F46="include",F46="duplicate",F46="late"),OR(H46="yes",H46="no"),OR(I46="success",I46="failed",I46="unknown",I46="not_sent"),OR(K46="yes",K46="no",K46="none",K46="conflict",K46="unknown"),OR(L46="text",L46="emoji",L46="voice",L46="none",L46="unknown"),OR(M46="yes",M46="no",M46="unknown"),OR(N46="yes",N46="no",N46="unknown"),ISNUMBER(O46),OR(O46=0,O46=1),OR(P46="",P46="soft_yes",P46="forgot",P46="time_place",P46="clash",P46="travel",P46="personal",P46="unknown",P46="silent_but_came"),OR(I46&lt;&gt;"success",AND(J46&lt;&gt;"",COUNTIFS($J$2:$J$201,J46,$I$2:$I$201,"success")=1)),OR(I46&lt;&gt;"not_sent",J46=""),IF(F46="duplicate",AND(COUNTIFS($A$2:$A$201,G46,$B$2:$B$201,B46,$C$2:$C$201,C46,$F$2:$F$201,"include")=1,H46="no",I46="not_sent",K46="none",M46="no",N46="no",O46=0),AND(G46="",N46&lt;&gt;"unknown",COUNTIFS($B$2:$B$201,B46,$F$2:$F$201,"&lt;&gt;duplicate")=1)),IF(F46="include",AND(H46="yes",K46&lt;&gt;"conflict",K46&lt;&gt;"unknown",M46&lt;&gt;"unknown",IF(OR(K46="yes",K46="no"),AND(M46="yes",OR(L46="text",L46="emoji",L46="voice")),L46="none")),TRUE),IF(F46="late",AND(H46="no",I46="not_sent",K46="none",L46="none",O46=0),TRUE)),"OK","CHECK"),"CHECK"))</x:f>
      </x:c>
      <x:c r="R46" s="3"/>
    </x:row>
    <x:row r="47" ht="22" customHeight="1">
      <x:c r="A47" s="8"/>
      <x:c r="B47" s="8"/>
      <x:c r="C47" s="8"/>
      <x:c r="D47" s="8"/>
      <x:c r="E47" s="7"/>
      <x:c r="F47" s="7"/>
      <x:c r="G47" s="7"/>
      <x:c r="H47" s="7"/>
      <x:c r="I47" s="7"/>
      <x:c r="J47" s="8"/>
      <x:c r="K47" s="7"/>
      <x:c r="L47" s="7"/>
      <x:c r="M47" s="7"/>
      <x:c r="N47" s="7"/>
      <x:c r="O47" s="7"/>
      <x:c r="P47" s="7"/>
      <x:c r="Q47" s="3" t="str">
        <x:f>IF(COUNTA(A47:P47)=0,"",IFERROR(IF(AND(A47&lt;&gt;"",COUNTIF($A$2:$A$201,A47)=1,OR(LEFT(B47,2)="V-",LEFT(B47,4)="SYN-"),LEN(MID(B47,IF(LEFT(B47,2)="V-",3,5),30))&gt;0,ISNUMBER(VALUE(MID(B47,IF(LEFT(B47,2)="V-",3,5),30))),VALUE(MID(B47,IF(LEFT(B47,2)="V-",3,5),30))&gt;=0,MOD(VALUE(MID(B47,IF(LEFT(B47,2)="V-",3,5),30)),1)=0,COUNTIFS(Slots!$A$2:$A$31,"E1",Slots!$B$2:$B$31,C47)=1,ISNUMBER(SEARCH("|"&amp;D47&amp;"|","|"&amp;Settings!$B$9&amp;"|")),OR(E47="regular",E47="first"),OR(F47="include",F47="duplicate",F47="late"),OR(H47="yes",H47="no"),OR(I47="success",I47="failed",I47="unknown",I47="not_sent"),OR(K47="yes",K47="no",K47="none",K47="conflict",K47="unknown"),OR(L47="text",L47="emoji",L47="voice",L47="none",L47="unknown"),OR(M47="yes",M47="no",M47="unknown"),OR(N47="yes",N47="no",N47="unknown"),ISNUMBER(O47),OR(O47=0,O47=1),OR(P47="",P47="soft_yes",P47="forgot",P47="time_place",P47="clash",P47="travel",P47="personal",P47="unknown",P47="silent_but_came"),OR(I47&lt;&gt;"success",AND(J47&lt;&gt;"",COUNTIFS($J$2:$J$201,J47,$I$2:$I$201,"success")=1)),OR(I47&lt;&gt;"not_sent",J47=""),IF(F47="duplicate",AND(COUNTIFS($A$2:$A$201,G47,$B$2:$B$201,B47,$C$2:$C$201,C47,$F$2:$F$201,"include")=1,H47="no",I47="not_sent",K47="none",M47="no",N47="no",O47=0),AND(G47="",N47&lt;&gt;"unknown",COUNTIFS($B$2:$B$201,B47,$F$2:$F$201,"&lt;&gt;duplicate")=1)),IF(F47="include",AND(H47="yes",K47&lt;&gt;"conflict",K47&lt;&gt;"unknown",M47&lt;&gt;"unknown",IF(OR(K47="yes",K47="no"),AND(M47="yes",OR(L47="text",L47="emoji",L47="voice")),L47="none")),TRUE),IF(F47="late",AND(H47="no",I47="not_sent",K47="none",L47="none",O47=0),TRUE)),"OK","CHECK"),"CHECK"))</x:f>
      </x:c>
      <x:c r="R47" s="3"/>
    </x:row>
    <x:row r="48" ht="22" customHeight="1">
      <x:c r="A48" s="8"/>
      <x:c r="B48" s="8"/>
      <x:c r="C48" s="8"/>
      <x:c r="D48" s="8"/>
      <x:c r="E48" s="7"/>
      <x:c r="F48" s="7"/>
      <x:c r="G48" s="7"/>
      <x:c r="H48" s="7"/>
      <x:c r="I48" s="7"/>
      <x:c r="J48" s="8"/>
      <x:c r="K48" s="7"/>
      <x:c r="L48" s="7"/>
      <x:c r="M48" s="7"/>
      <x:c r="N48" s="7"/>
      <x:c r="O48" s="7"/>
      <x:c r="P48" s="7"/>
      <x:c r="Q48" s="3" t="str">
        <x:f>IF(COUNTA(A48:P48)=0,"",IFERROR(IF(AND(A48&lt;&gt;"",COUNTIF($A$2:$A$201,A48)=1,OR(LEFT(B48,2)="V-",LEFT(B48,4)="SYN-"),LEN(MID(B48,IF(LEFT(B48,2)="V-",3,5),30))&gt;0,ISNUMBER(VALUE(MID(B48,IF(LEFT(B48,2)="V-",3,5),30))),VALUE(MID(B48,IF(LEFT(B48,2)="V-",3,5),30))&gt;=0,MOD(VALUE(MID(B48,IF(LEFT(B48,2)="V-",3,5),30)),1)=0,COUNTIFS(Slots!$A$2:$A$31,"E1",Slots!$B$2:$B$31,C48)=1,ISNUMBER(SEARCH("|"&amp;D48&amp;"|","|"&amp;Settings!$B$9&amp;"|")),OR(E48="regular",E48="first"),OR(F48="include",F48="duplicate",F48="late"),OR(H48="yes",H48="no"),OR(I48="success",I48="failed",I48="unknown",I48="not_sent"),OR(K48="yes",K48="no",K48="none",K48="conflict",K48="unknown"),OR(L48="text",L48="emoji",L48="voice",L48="none",L48="unknown"),OR(M48="yes",M48="no",M48="unknown"),OR(N48="yes",N48="no",N48="unknown"),ISNUMBER(O48),OR(O48=0,O48=1),OR(P48="",P48="soft_yes",P48="forgot",P48="time_place",P48="clash",P48="travel",P48="personal",P48="unknown",P48="silent_but_came"),OR(I48&lt;&gt;"success",AND(J48&lt;&gt;"",COUNTIFS($J$2:$J$201,J48,$I$2:$I$201,"success")=1)),OR(I48&lt;&gt;"not_sent",J48=""),IF(F48="duplicate",AND(COUNTIFS($A$2:$A$201,G48,$B$2:$B$201,B48,$C$2:$C$201,C48,$F$2:$F$201,"include")=1,H48="no",I48="not_sent",K48="none",M48="no",N48="no",O48=0),AND(G48="",N48&lt;&gt;"unknown",COUNTIFS($B$2:$B$201,B48,$F$2:$F$201,"&lt;&gt;duplicate")=1)),IF(F48="include",AND(H48="yes",K48&lt;&gt;"conflict",K48&lt;&gt;"unknown",M48&lt;&gt;"unknown",IF(OR(K48="yes",K48="no"),AND(M48="yes",OR(L48="text",L48="emoji",L48="voice")),L48="none")),TRUE),IF(F48="late",AND(H48="no",I48="not_sent",K48="none",L48="none",O48=0),TRUE)),"OK","CHECK"),"CHECK"))</x:f>
      </x:c>
      <x:c r="R48" s="3"/>
    </x:row>
    <x:row r="49" ht="22" customHeight="1">
      <x:c r="A49" s="8"/>
      <x:c r="B49" s="8"/>
      <x:c r="C49" s="8"/>
      <x:c r="D49" s="8"/>
      <x:c r="E49" s="7"/>
      <x:c r="F49" s="7"/>
      <x:c r="G49" s="7"/>
      <x:c r="H49" s="7"/>
      <x:c r="I49" s="7"/>
      <x:c r="J49" s="8"/>
      <x:c r="K49" s="7"/>
      <x:c r="L49" s="7"/>
      <x:c r="M49" s="7"/>
      <x:c r="N49" s="7"/>
      <x:c r="O49" s="7"/>
      <x:c r="P49" s="7"/>
      <x:c r="Q49" s="3" t="str">
        <x:f>IF(COUNTA(A49:P49)=0,"",IFERROR(IF(AND(A49&lt;&gt;"",COUNTIF($A$2:$A$201,A49)=1,OR(LEFT(B49,2)="V-",LEFT(B49,4)="SYN-"),LEN(MID(B49,IF(LEFT(B49,2)="V-",3,5),30))&gt;0,ISNUMBER(VALUE(MID(B49,IF(LEFT(B49,2)="V-",3,5),30))),VALUE(MID(B49,IF(LEFT(B49,2)="V-",3,5),30))&gt;=0,MOD(VALUE(MID(B49,IF(LEFT(B49,2)="V-",3,5),30)),1)=0,COUNTIFS(Slots!$A$2:$A$31,"E1",Slots!$B$2:$B$31,C49)=1,ISNUMBER(SEARCH("|"&amp;D49&amp;"|","|"&amp;Settings!$B$9&amp;"|")),OR(E49="regular",E49="first"),OR(F49="include",F49="duplicate",F49="late"),OR(H49="yes",H49="no"),OR(I49="success",I49="failed",I49="unknown",I49="not_sent"),OR(K49="yes",K49="no",K49="none",K49="conflict",K49="unknown"),OR(L49="text",L49="emoji",L49="voice",L49="none",L49="unknown"),OR(M49="yes",M49="no",M49="unknown"),OR(N49="yes",N49="no",N49="unknown"),ISNUMBER(O49),OR(O49=0,O49=1),OR(P49="",P49="soft_yes",P49="forgot",P49="time_place",P49="clash",P49="travel",P49="personal",P49="unknown",P49="silent_but_came"),OR(I49&lt;&gt;"success",AND(J49&lt;&gt;"",COUNTIFS($J$2:$J$201,J49,$I$2:$I$201,"success")=1)),OR(I49&lt;&gt;"not_sent",J49=""),IF(F49="duplicate",AND(COUNTIFS($A$2:$A$201,G49,$B$2:$B$201,B49,$C$2:$C$201,C49,$F$2:$F$201,"include")=1,H49="no",I49="not_sent",K49="none",M49="no",N49="no",O49=0),AND(G49="",N49&lt;&gt;"unknown",COUNTIFS($B$2:$B$201,B49,$F$2:$F$201,"&lt;&gt;duplicate")=1)),IF(F49="include",AND(H49="yes",K49&lt;&gt;"conflict",K49&lt;&gt;"unknown",M49&lt;&gt;"unknown",IF(OR(K49="yes",K49="no"),AND(M49="yes",OR(L49="text",L49="emoji",L49="voice")),L49="none")),TRUE),IF(F49="late",AND(H49="no",I49="not_sent",K49="none",L49="none",O49=0),TRUE)),"OK","CHECK"),"CHECK"))</x:f>
      </x:c>
      <x:c r="R49" s="3"/>
    </x:row>
    <x:row r="50" ht="22" customHeight="1">
      <x:c r="A50" s="8"/>
      <x:c r="B50" s="8"/>
      <x:c r="C50" s="8"/>
      <x:c r="D50" s="8"/>
      <x:c r="E50" s="7"/>
      <x:c r="F50" s="7"/>
      <x:c r="G50" s="7"/>
      <x:c r="H50" s="7"/>
      <x:c r="I50" s="7"/>
      <x:c r="J50" s="8"/>
      <x:c r="K50" s="7"/>
      <x:c r="L50" s="7"/>
      <x:c r="M50" s="7"/>
      <x:c r="N50" s="7"/>
      <x:c r="O50" s="7"/>
      <x:c r="P50" s="7"/>
      <x:c r="Q50" s="3" t="str">
        <x:f>IF(COUNTA(A50:P50)=0,"",IFERROR(IF(AND(A50&lt;&gt;"",COUNTIF($A$2:$A$201,A50)=1,OR(LEFT(B50,2)="V-",LEFT(B50,4)="SYN-"),LEN(MID(B50,IF(LEFT(B50,2)="V-",3,5),30))&gt;0,ISNUMBER(VALUE(MID(B50,IF(LEFT(B50,2)="V-",3,5),30))),VALUE(MID(B50,IF(LEFT(B50,2)="V-",3,5),30))&gt;=0,MOD(VALUE(MID(B50,IF(LEFT(B50,2)="V-",3,5),30)),1)=0,COUNTIFS(Slots!$A$2:$A$31,"E1",Slots!$B$2:$B$31,C50)=1,ISNUMBER(SEARCH("|"&amp;D50&amp;"|","|"&amp;Settings!$B$9&amp;"|")),OR(E50="regular",E50="first"),OR(F50="include",F50="duplicate",F50="late"),OR(H50="yes",H50="no"),OR(I50="success",I50="failed",I50="unknown",I50="not_sent"),OR(K50="yes",K50="no",K50="none",K50="conflict",K50="unknown"),OR(L50="text",L50="emoji",L50="voice",L50="none",L50="unknown"),OR(M50="yes",M50="no",M50="unknown"),OR(N50="yes",N50="no",N50="unknown"),ISNUMBER(O50),OR(O50=0,O50=1),OR(P50="",P50="soft_yes",P50="forgot",P50="time_place",P50="clash",P50="travel",P50="personal",P50="unknown",P50="silent_but_came"),OR(I50&lt;&gt;"success",AND(J50&lt;&gt;"",COUNTIFS($J$2:$J$201,J50,$I$2:$I$201,"success")=1)),OR(I50&lt;&gt;"not_sent",J50=""),IF(F50="duplicate",AND(COUNTIFS($A$2:$A$201,G50,$B$2:$B$201,B50,$C$2:$C$201,C50,$F$2:$F$201,"include")=1,H50="no",I50="not_sent",K50="none",M50="no",N50="no",O50=0),AND(G50="",N50&lt;&gt;"unknown",COUNTIFS($B$2:$B$201,B50,$F$2:$F$201,"&lt;&gt;duplicate")=1)),IF(F50="include",AND(H50="yes",K50&lt;&gt;"conflict",K50&lt;&gt;"unknown",M50&lt;&gt;"unknown",IF(OR(K50="yes",K50="no"),AND(M50="yes",OR(L50="text",L50="emoji",L50="voice")),L50="none")),TRUE),IF(F50="late",AND(H50="no",I50="not_sent",K50="none",L50="none",O50=0),TRUE)),"OK","CHECK"),"CHECK"))</x:f>
      </x:c>
      <x:c r="R50" s="3"/>
    </x:row>
    <x:row r="51" ht="22" customHeight="1">
      <x:c r="A51" s="8"/>
      <x:c r="B51" s="8"/>
      <x:c r="C51" s="8"/>
      <x:c r="D51" s="8"/>
      <x:c r="E51" s="7"/>
      <x:c r="F51" s="7"/>
      <x:c r="G51" s="7"/>
      <x:c r="H51" s="7"/>
      <x:c r="I51" s="7"/>
      <x:c r="J51" s="8"/>
      <x:c r="K51" s="7"/>
      <x:c r="L51" s="7"/>
      <x:c r="M51" s="7"/>
      <x:c r="N51" s="7"/>
      <x:c r="O51" s="7"/>
      <x:c r="P51" s="7"/>
      <x:c r="Q51" s="3" t="str">
        <x:f>IF(COUNTA(A51:P51)=0,"",IFERROR(IF(AND(A51&lt;&gt;"",COUNTIF($A$2:$A$201,A51)=1,OR(LEFT(B51,2)="V-",LEFT(B51,4)="SYN-"),LEN(MID(B51,IF(LEFT(B51,2)="V-",3,5),30))&gt;0,ISNUMBER(VALUE(MID(B51,IF(LEFT(B51,2)="V-",3,5),30))),VALUE(MID(B51,IF(LEFT(B51,2)="V-",3,5),30))&gt;=0,MOD(VALUE(MID(B51,IF(LEFT(B51,2)="V-",3,5),30)),1)=0,COUNTIFS(Slots!$A$2:$A$31,"E1",Slots!$B$2:$B$31,C51)=1,ISNUMBER(SEARCH("|"&amp;D51&amp;"|","|"&amp;Settings!$B$9&amp;"|")),OR(E51="regular",E51="first"),OR(F51="include",F51="duplicate",F51="late"),OR(H51="yes",H51="no"),OR(I51="success",I51="failed",I51="unknown",I51="not_sent"),OR(K51="yes",K51="no",K51="none",K51="conflict",K51="unknown"),OR(L51="text",L51="emoji",L51="voice",L51="none",L51="unknown"),OR(M51="yes",M51="no",M51="unknown"),OR(N51="yes",N51="no",N51="unknown"),ISNUMBER(O51),OR(O51=0,O51=1),OR(P51="",P51="soft_yes",P51="forgot",P51="time_place",P51="clash",P51="travel",P51="personal",P51="unknown",P51="silent_but_came"),OR(I51&lt;&gt;"success",AND(J51&lt;&gt;"",COUNTIFS($J$2:$J$201,J51,$I$2:$I$201,"success")=1)),OR(I51&lt;&gt;"not_sent",J51=""),IF(F51="duplicate",AND(COUNTIFS($A$2:$A$201,G51,$B$2:$B$201,B51,$C$2:$C$201,C51,$F$2:$F$201,"include")=1,H51="no",I51="not_sent",K51="none",M51="no",N51="no",O51=0),AND(G51="",N51&lt;&gt;"unknown",COUNTIFS($B$2:$B$201,B51,$F$2:$F$201,"&lt;&gt;duplicate")=1)),IF(F51="include",AND(H51="yes",K51&lt;&gt;"conflict",K51&lt;&gt;"unknown",M51&lt;&gt;"unknown",IF(OR(K51="yes",K51="no"),AND(M51="yes",OR(L51="text",L51="emoji",L51="voice")),L51="none")),TRUE),IF(F51="late",AND(H51="no",I51="not_sent",K51="none",L51="none",O51=0),TRUE)),"OK","CHECK"),"CHECK"))</x:f>
      </x:c>
      <x:c r="R51" s="3"/>
    </x:row>
    <x:row r="52" ht="22" customHeight="1">
      <x:c r="A52" s="8"/>
      <x:c r="B52" s="8"/>
      <x:c r="C52" s="8"/>
      <x:c r="D52" s="8"/>
      <x:c r="E52" s="7"/>
      <x:c r="F52" s="7"/>
      <x:c r="G52" s="7"/>
      <x:c r="H52" s="7"/>
      <x:c r="I52" s="7"/>
      <x:c r="J52" s="8"/>
      <x:c r="K52" s="7"/>
      <x:c r="L52" s="7"/>
      <x:c r="M52" s="7"/>
      <x:c r="N52" s="7"/>
      <x:c r="O52" s="7"/>
      <x:c r="P52" s="7"/>
      <x:c r="Q52" s="3" t="str">
        <x:f>IF(COUNTA(A52:P52)=0,"",IFERROR(IF(AND(A52&lt;&gt;"",COUNTIF($A$2:$A$201,A52)=1,OR(LEFT(B52,2)="V-",LEFT(B52,4)="SYN-"),LEN(MID(B52,IF(LEFT(B52,2)="V-",3,5),30))&gt;0,ISNUMBER(VALUE(MID(B52,IF(LEFT(B52,2)="V-",3,5),30))),VALUE(MID(B52,IF(LEFT(B52,2)="V-",3,5),30))&gt;=0,MOD(VALUE(MID(B52,IF(LEFT(B52,2)="V-",3,5),30)),1)=0,COUNTIFS(Slots!$A$2:$A$31,"E1",Slots!$B$2:$B$31,C52)=1,ISNUMBER(SEARCH("|"&amp;D52&amp;"|","|"&amp;Settings!$B$9&amp;"|")),OR(E52="regular",E52="first"),OR(F52="include",F52="duplicate",F52="late"),OR(H52="yes",H52="no"),OR(I52="success",I52="failed",I52="unknown",I52="not_sent"),OR(K52="yes",K52="no",K52="none",K52="conflict",K52="unknown"),OR(L52="text",L52="emoji",L52="voice",L52="none",L52="unknown"),OR(M52="yes",M52="no",M52="unknown"),OR(N52="yes",N52="no",N52="unknown"),ISNUMBER(O52),OR(O52=0,O52=1),OR(P52="",P52="soft_yes",P52="forgot",P52="time_place",P52="clash",P52="travel",P52="personal",P52="unknown",P52="silent_but_came"),OR(I52&lt;&gt;"success",AND(J52&lt;&gt;"",COUNTIFS($J$2:$J$201,J52,$I$2:$I$201,"success")=1)),OR(I52&lt;&gt;"not_sent",J52=""),IF(F52="duplicate",AND(COUNTIFS($A$2:$A$201,G52,$B$2:$B$201,B52,$C$2:$C$201,C52,$F$2:$F$201,"include")=1,H52="no",I52="not_sent",K52="none",M52="no",N52="no",O52=0),AND(G52="",N52&lt;&gt;"unknown",COUNTIFS($B$2:$B$201,B52,$F$2:$F$201,"&lt;&gt;duplicate")=1)),IF(F52="include",AND(H52="yes",K52&lt;&gt;"conflict",K52&lt;&gt;"unknown",M52&lt;&gt;"unknown",IF(OR(K52="yes",K52="no"),AND(M52="yes",OR(L52="text",L52="emoji",L52="voice")),L52="none")),TRUE),IF(F52="late",AND(H52="no",I52="not_sent",K52="none",L52="none",O52=0),TRUE)),"OK","CHECK"),"CHECK"))</x:f>
      </x:c>
      <x:c r="R52" s="3"/>
    </x:row>
    <x:row r="53" ht="22" customHeight="1">
      <x:c r="A53" s="8"/>
      <x:c r="B53" s="8"/>
      <x:c r="C53" s="8"/>
      <x:c r="D53" s="8"/>
      <x:c r="E53" s="7"/>
      <x:c r="F53" s="7"/>
      <x:c r="G53" s="7"/>
      <x:c r="H53" s="7"/>
      <x:c r="I53" s="7"/>
      <x:c r="J53" s="8"/>
      <x:c r="K53" s="7"/>
      <x:c r="L53" s="7"/>
      <x:c r="M53" s="7"/>
      <x:c r="N53" s="7"/>
      <x:c r="O53" s="7"/>
      <x:c r="P53" s="7"/>
      <x:c r="Q53" s="3" t="str">
        <x:f>IF(COUNTA(A53:P53)=0,"",IFERROR(IF(AND(A53&lt;&gt;"",COUNTIF($A$2:$A$201,A53)=1,OR(LEFT(B53,2)="V-",LEFT(B53,4)="SYN-"),LEN(MID(B53,IF(LEFT(B53,2)="V-",3,5),30))&gt;0,ISNUMBER(VALUE(MID(B53,IF(LEFT(B53,2)="V-",3,5),30))),VALUE(MID(B53,IF(LEFT(B53,2)="V-",3,5),30))&gt;=0,MOD(VALUE(MID(B53,IF(LEFT(B53,2)="V-",3,5),30)),1)=0,COUNTIFS(Slots!$A$2:$A$31,"E1",Slots!$B$2:$B$31,C53)=1,ISNUMBER(SEARCH("|"&amp;D53&amp;"|","|"&amp;Settings!$B$9&amp;"|")),OR(E53="regular",E53="first"),OR(F53="include",F53="duplicate",F53="late"),OR(H53="yes",H53="no"),OR(I53="success",I53="failed",I53="unknown",I53="not_sent"),OR(K53="yes",K53="no",K53="none",K53="conflict",K53="unknown"),OR(L53="text",L53="emoji",L53="voice",L53="none",L53="unknown"),OR(M53="yes",M53="no",M53="unknown"),OR(N53="yes",N53="no",N53="unknown"),ISNUMBER(O53),OR(O53=0,O53=1),OR(P53="",P53="soft_yes",P53="forgot",P53="time_place",P53="clash",P53="travel",P53="personal",P53="unknown",P53="silent_but_came"),OR(I53&lt;&gt;"success",AND(J53&lt;&gt;"",COUNTIFS($J$2:$J$201,J53,$I$2:$I$201,"success")=1)),OR(I53&lt;&gt;"not_sent",J53=""),IF(F53="duplicate",AND(COUNTIFS($A$2:$A$201,G53,$B$2:$B$201,B53,$C$2:$C$201,C53,$F$2:$F$201,"include")=1,H53="no",I53="not_sent",K53="none",M53="no",N53="no",O53=0),AND(G53="",N53&lt;&gt;"unknown",COUNTIFS($B$2:$B$201,B53,$F$2:$F$201,"&lt;&gt;duplicate")=1)),IF(F53="include",AND(H53="yes",K53&lt;&gt;"conflict",K53&lt;&gt;"unknown",M53&lt;&gt;"unknown",IF(OR(K53="yes",K53="no"),AND(M53="yes",OR(L53="text",L53="emoji",L53="voice")),L53="none")),TRUE),IF(F53="late",AND(H53="no",I53="not_sent",K53="none",L53="none",O53=0),TRUE)),"OK","CHECK"),"CHECK"))</x:f>
      </x:c>
      <x:c r="R53" s="3"/>
    </x:row>
    <x:row r="54" ht="22" customHeight="1">
      <x:c r="A54" s="8"/>
      <x:c r="B54" s="8"/>
      <x:c r="C54" s="8"/>
      <x:c r="D54" s="8"/>
      <x:c r="E54" s="7"/>
      <x:c r="F54" s="7"/>
      <x:c r="G54" s="7"/>
      <x:c r="H54" s="7"/>
      <x:c r="I54" s="7"/>
      <x:c r="J54" s="8"/>
      <x:c r="K54" s="7"/>
      <x:c r="L54" s="7"/>
      <x:c r="M54" s="7"/>
      <x:c r="N54" s="7"/>
      <x:c r="O54" s="7"/>
      <x:c r="P54" s="7"/>
      <x:c r="Q54" s="3" t="str">
        <x:f>IF(COUNTA(A54:P54)=0,"",IFERROR(IF(AND(A54&lt;&gt;"",COUNTIF($A$2:$A$201,A54)=1,OR(LEFT(B54,2)="V-",LEFT(B54,4)="SYN-"),LEN(MID(B54,IF(LEFT(B54,2)="V-",3,5),30))&gt;0,ISNUMBER(VALUE(MID(B54,IF(LEFT(B54,2)="V-",3,5),30))),VALUE(MID(B54,IF(LEFT(B54,2)="V-",3,5),30))&gt;=0,MOD(VALUE(MID(B54,IF(LEFT(B54,2)="V-",3,5),30)),1)=0,COUNTIFS(Slots!$A$2:$A$31,"E1",Slots!$B$2:$B$31,C54)=1,ISNUMBER(SEARCH("|"&amp;D54&amp;"|","|"&amp;Settings!$B$9&amp;"|")),OR(E54="regular",E54="first"),OR(F54="include",F54="duplicate",F54="late"),OR(H54="yes",H54="no"),OR(I54="success",I54="failed",I54="unknown",I54="not_sent"),OR(K54="yes",K54="no",K54="none",K54="conflict",K54="unknown"),OR(L54="text",L54="emoji",L54="voice",L54="none",L54="unknown"),OR(M54="yes",M54="no",M54="unknown"),OR(N54="yes",N54="no",N54="unknown"),ISNUMBER(O54),OR(O54=0,O54=1),OR(P54="",P54="soft_yes",P54="forgot",P54="time_place",P54="clash",P54="travel",P54="personal",P54="unknown",P54="silent_but_came"),OR(I54&lt;&gt;"success",AND(J54&lt;&gt;"",COUNTIFS($J$2:$J$201,J54,$I$2:$I$201,"success")=1)),OR(I54&lt;&gt;"not_sent",J54=""),IF(F54="duplicate",AND(COUNTIFS($A$2:$A$201,G54,$B$2:$B$201,B54,$C$2:$C$201,C54,$F$2:$F$201,"include")=1,H54="no",I54="not_sent",K54="none",M54="no",N54="no",O54=0),AND(G54="",N54&lt;&gt;"unknown",COUNTIFS($B$2:$B$201,B54,$F$2:$F$201,"&lt;&gt;duplicate")=1)),IF(F54="include",AND(H54="yes",K54&lt;&gt;"conflict",K54&lt;&gt;"unknown",M54&lt;&gt;"unknown",IF(OR(K54="yes",K54="no"),AND(M54="yes",OR(L54="text",L54="emoji",L54="voice")),L54="none")),TRUE),IF(F54="late",AND(H54="no",I54="not_sent",K54="none",L54="none",O54=0),TRUE)),"OK","CHECK"),"CHECK"))</x:f>
      </x:c>
      <x:c r="R54" s="3"/>
    </x:row>
    <x:row r="55" ht="22" customHeight="1">
      <x:c r="A55" s="8"/>
      <x:c r="B55" s="8"/>
      <x:c r="C55" s="8"/>
      <x:c r="D55" s="8"/>
      <x:c r="E55" s="7"/>
      <x:c r="F55" s="7"/>
      <x:c r="G55" s="7"/>
      <x:c r="H55" s="7"/>
      <x:c r="I55" s="7"/>
      <x:c r="J55" s="8"/>
      <x:c r="K55" s="7"/>
      <x:c r="L55" s="7"/>
      <x:c r="M55" s="7"/>
      <x:c r="N55" s="7"/>
      <x:c r="O55" s="7"/>
      <x:c r="P55" s="7"/>
      <x:c r="Q55" s="3" t="str">
        <x:f>IF(COUNTA(A55:P55)=0,"",IFERROR(IF(AND(A55&lt;&gt;"",COUNTIF($A$2:$A$201,A55)=1,OR(LEFT(B55,2)="V-",LEFT(B55,4)="SYN-"),LEN(MID(B55,IF(LEFT(B55,2)="V-",3,5),30))&gt;0,ISNUMBER(VALUE(MID(B55,IF(LEFT(B55,2)="V-",3,5),30))),VALUE(MID(B55,IF(LEFT(B55,2)="V-",3,5),30))&gt;=0,MOD(VALUE(MID(B55,IF(LEFT(B55,2)="V-",3,5),30)),1)=0,COUNTIFS(Slots!$A$2:$A$31,"E1",Slots!$B$2:$B$31,C55)=1,ISNUMBER(SEARCH("|"&amp;D55&amp;"|","|"&amp;Settings!$B$9&amp;"|")),OR(E55="regular",E55="first"),OR(F55="include",F55="duplicate",F55="late"),OR(H55="yes",H55="no"),OR(I55="success",I55="failed",I55="unknown",I55="not_sent"),OR(K55="yes",K55="no",K55="none",K55="conflict",K55="unknown"),OR(L55="text",L55="emoji",L55="voice",L55="none",L55="unknown"),OR(M55="yes",M55="no",M55="unknown"),OR(N55="yes",N55="no",N55="unknown"),ISNUMBER(O55),OR(O55=0,O55=1),OR(P55="",P55="soft_yes",P55="forgot",P55="time_place",P55="clash",P55="travel",P55="personal",P55="unknown",P55="silent_but_came"),OR(I55&lt;&gt;"success",AND(J55&lt;&gt;"",COUNTIFS($J$2:$J$201,J55,$I$2:$I$201,"success")=1)),OR(I55&lt;&gt;"not_sent",J55=""),IF(F55="duplicate",AND(COUNTIFS($A$2:$A$201,G55,$B$2:$B$201,B55,$C$2:$C$201,C55,$F$2:$F$201,"include")=1,H55="no",I55="not_sent",K55="none",M55="no",N55="no",O55=0),AND(G55="",N55&lt;&gt;"unknown",COUNTIFS($B$2:$B$201,B55,$F$2:$F$201,"&lt;&gt;duplicate")=1)),IF(F55="include",AND(H55="yes",K55&lt;&gt;"conflict",K55&lt;&gt;"unknown",M55&lt;&gt;"unknown",IF(OR(K55="yes",K55="no"),AND(M55="yes",OR(L55="text",L55="emoji",L55="voice")),L55="none")),TRUE),IF(F55="late",AND(H55="no",I55="not_sent",K55="none",L55="none",O55=0),TRUE)),"OK","CHECK"),"CHECK"))</x:f>
      </x:c>
      <x:c r="R55" s="3"/>
    </x:row>
    <x:row r="56" ht="22" customHeight="1">
      <x:c r="A56" s="8"/>
      <x:c r="B56" s="8"/>
      <x:c r="C56" s="8"/>
      <x:c r="D56" s="8"/>
      <x:c r="E56" s="7"/>
      <x:c r="F56" s="7"/>
      <x:c r="G56" s="7"/>
      <x:c r="H56" s="7"/>
      <x:c r="I56" s="7"/>
      <x:c r="J56" s="8"/>
      <x:c r="K56" s="7"/>
      <x:c r="L56" s="7"/>
      <x:c r="M56" s="7"/>
      <x:c r="N56" s="7"/>
      <x:c r="O56" s="7"/>
      <x:c r="P56" s="7"/>
      <x:c r="Q56" s="3" t="str">
        <x:f>IF(COUNTA(A56:P56)=0,"",IFERROR(IF(AND(A56&lt;&gt;"",COUNTIF($A$2:$A$201,A56)=1,OR(LEFT(B56,2)="V-",LEFT(B56,4)="SYN-"),LEN(MID(B56,IF(LEFT(B56,2)="V-",3,5),30))&gt;0,ISNUMBER(VALUE(MID(B56,IF(LEFT(B56,2)="V-",3,5),30))),VALUE(MID(B56,IF(LEFT(B56,2)="V-",3,5),30))&gt;=0,MOD(VALUE(MID(B56,IF(LEFT(B56,2)="V-",3,5),30)),1)=0,COUNTIFS(Slots!$A$2:$A$31,"E1",Slots!$B$2:$B$31,C56)=1,ISNUMBER(SEARCH("|"&amp;D56&amp;"|","|"&amp;Settings!$B$9&amp;"|")),OR(E56="regular",E56="first"),OR(F56="include",F56="duplicate",F56="late"),OR(H56="yes",H56="no"),OR(I56="success",I56="failed",I56="unknown",I56="not_sent"),OR(K56="yes",K56="no",K56="none",K56="conflict",K56="unknown"),OR(L56="text",L56="emoji",L56="voice",L56="none",L56="unknown"),OR(M56="yes",M56="no",M56="unknown"),OR(N56="yes",N56="no",N56="unknown"),ISNUMBER(O56),OR(O56=0,O56=1),OR(P56="",P56="soft_yes",P56="forgot",P56="time_place",P56="clash",P56="travel",P56="personal",P56="unknown",P56="silent_but_came"),OR(I56&lt;&gt;"success",AND(J56&lt;&gt;"",COUNTIFS($J$2:$J$201,J56,$I$2:$I$201,"success")=1)),OR(I56&lt;&gt;"not_sent",J56=""),IF(F56="duplicate",AND(COUNTIFS($A$2:$A$201,G56,$B$2:$B$201,B56,$C$2:$C$201,C56,$F$2:$F$201,"include")=1,H56="no",I56="not_sent",K56="none",M56="no",N56="no",O56=0),AND(G56="",N56&lt;&gt;"unknown",COUNTIFS($B$2:$B$201,B56,$F$2:$F$201,"&lt;&gt;duplicate")=1)),IF(F56="include",AND(H56="yes",K56&lt;&gt;"conflict",K56&lt;&gt;"unknown",M56&lt;&gt;"unknown",IF(OR(K56="yes",K56="no"),AND(M56="yes",OR(L56="text",L56="emoji",L56="voice")),L56="none")),TRUE),IF(F56="late",AND(H56="no",I56="not_sent",K56="none",L56="none",O56=0),TRUE)),"OK","CHECK"),"CHECK"))</x:f>
      </x:c>
      <x:c r="R56" s="3"/>
    </x:row>
    <x:row r="57" ht="22" customHeight="1">
      <x:c r="A57" s="8"/>
      <x:c r="B57" s="8"/>
      <x:c r="C57" s="8"/>
      <x:c r="D57" s="8"/>
      <x:c r="E57" s="7"/>
      <x:c r="F57" s="7"/>
      <x:c r="G57" s="7"/>
      <x:c r="H57" s="7"/>
      <x:c r="I57" s="7"/>
      <x:c r="J57" s="8"/>
      <x:c r="K57" s="7"/>
      <x:c r="L57" s="7"/>
      <x:c r="M57" s="7"/>
      <x:c r="N57" s="7"/>
      <x:c r="O57" s="7"/>
      <x:c r="P57" s="7"/>
      <x:c r="Q57" s="3" t="str">
        <x:f>IF(COUNTA(A57:P57)=0,"",IFERROR(IF(AND(A57&lt;&gt;"",COUNTIF($A$2:$A$201,A57)=1,OR(LEFT(B57,2)="V-",LEFT(B57,4)="SYN-"),LEN(MID(B57,IF(LEFT(B57,2)="V-",3,5),30))&gt;0,ISNUMBER(VALUE(MID(B57,IF(LEFT(B57,2)="V-",3,5),30))),VALUE(MID(B57,IF(LEFT(B57,2)="V-",3,5),30))&gt;=0,MOD(VALUE(MID(B57,IF(LEFT(B57,2)="V-",3,5),30)),1)=0,COUNTIFS(Slots!$A$2:$A$31,"E1",Slots!$B$2:$B$31,C57)=1,ISNUMBER(SEARCH("|"&amp;D57&amp;"|","|"&amp;Settings!$B$9&amp;"|")),OR(E57="regular",E57="first"),OR(F57="include",F57="duplicate",F57="late"),OR(H57="yes",H57="no"),OR(I57="success",I57="failed",I57="unknown",I57="not_sent"),OR(K57="yes",K57="no",K57="none",K57="conflict",K57="unknown"),OR(L57="text",L57="emoji",L57="voice",L57="none",L57="unknown"),OR(M57="yes",M57="no",M57="unknown"),OR(N57="yes",N57="no",N57="unknown"),ISNUMBER(O57),OR(O57=0,O57=1),OR(P57="",P57="soft_yes",P57="forgot",P57="time_place",P57="clash",P57="travel",P57="personal",P57="unknown",P57="silent_but_came"),OR(I57&lt;&gt;"success",AND(J57&lt;&gt;"",COUNTIFS($J$2:$J$201,J57,$I$2:$I$201,"success")=1)),OR(I57&lt;&gt;"not_sent",J57=""),IF(F57="duplicate",AND(COUNTIFS($A$2:$A$201,G57,$B$2:$B$201,B57,$C$2:$C$201,C57,$F$2:$F$201,"include")=1,H57="no",I57="not_sent",K57="none",M57="no",N57="no",O57=0),AND(G57="",N57&lt;&gt;"unknown",COUNTIFS($B$2:$B$201,B57,$F$2:$F$201,"&lt;&gt;duplicate")=1)),IF(F57="include",AND(H57="yes",K57&lt;&gt;"conflict",K57&lt;&gt;"unknown",M57&lt;&gt;"unknown",IF(OR(K57="yes",K57="no"),AND(M57="yes",OR(L57="text",L57="emoji",L57="voice")),L57="none")),TRUE),IF(F57="late",AND(H57="no",I57="not_sent",K57="none",L57="none",O57=0),TRUE)),"OK","CHECK"),"CHECK"))</x:f>
      </x:c>
      <x:c r="R57" s="3"/>
    </x:row>
    <x:row r="58" ht="22" customHeight="1">
      <x:c r="A58" s="8"/>
      <x:c r="B58" s="8"/>
      <x:c r="C58" s="8"/>
      <x:c r="D58" s="8"/>
      <x:c r="E58" s="7"/>
      <x:c r="F58" s="7"/>
      <x:c r="G58" s="7"/>
      <x:c r="H58" s="7"/>
      <x:c r="I58" s="7"/>
      <x:c r="J58" s="8"/>
      <x:c r="K58" s="7"/>
      <x:c r="L58" s="7"/>
      <x:c r="M58" s="7"/>
      <x:c r="N58" s="7"/>
      <x:c r="O58" s="7"/>
      <x:c r="P58" s="7"/>
      <x:c r="Q58" s="3" t="str">
        <x:f>IF(COUNTA(A58:P58)=0,"",IFERROR(IF(AND(A58&lt;&gt;"",COUNTIF($A$2:$A$201,A58)=1,OR(LEFT(B58,2)="V-",LEFT(B58,4)="SYN-"),LEN(MID(B58,IF(LEFT(B58,2)="V-",3,5),30))&gt;0,ISNUMBER(VALUE(MID(B58,IF(LEFT(B58,2)="V-",3,5),30))),VALUE(MID(B58,IF(LEFT(B58,2)="V-",3,5),30))&gt;=0,MOD(VALUE(MID(B58,IF(LEFT(B58,2)="V-",3,5),30)),1)=0,COUNTIFS(Slots!$A$2:$A$31,"E1",Slots!$B$2:$B$31,C58)=1,ISNUMBER(SEARCH("|"&amp;D58&amp;"|","|"&amp;Settings!$B$9&amp;"|")),OR(E58="regular",E58="first"),OR(F58="include",F58="duplicate",F58="late"),OR(H58="yes",H58="no"),OR(I58="success",I58="failed",I58="unknown",I58="not_sent"),OR(K58="yes",K58="no",K58="none",K58="conflict",K58="unknown"),OR(L58="text",L58="emoji",L58="voice",L58="none",L58="unknown"),OR(M58="yes",M58="no",M58="unknown"),OR(N58="yes",N58="no",N58="unknown"),ISNUMBER(O58),OR(O58=0,O58=1),OR(P58="",P58="soft_yes",P58="forgot",P58="time_place",P58="clash",P58="travel",P58="personal",P58="unknown",P58="silent_but_came"),OR(I58&lt;&gt;"success",AND(J58&lt;&gt;"",COUNTIFS($J$2:$J$201,J58,$I$2:$I$201,"success")=1)),OR(I58&lt;&gt;"not_sent",J58=""),IF(F58="duplicate",AND(COUNTIFS($A$2:$A$201,G58,$B$2:$B$201,B58,$C$2:$C$201,C58,$F$2:$F$201,"include")=1,H58="no",I58="not_sent",K58="none",M58="no",N58="no",O58=0),AND(G58="",N58&lt;&gt;"unknown",COUNTIFS($B$2:$B$201,B58,$F$2:$F$201,"&lt;&gt;duplicate")=1)),IF(F58="include",AND(H58="yes",K58&lt;&gt;"conflict",K58&lt;&gt;"unknown",M58&lt;&gt;"unknown",IF(OR(K58="yes",K58="no"),AND(M58="yes",OR(L58="text",L58="emoji",L58="voice")),L58="none")),TRUE),IF(F58="late",AND(H58="no",I58="not_sent",K58="none",L58="none",O58=0),TRUE)),"OK","CHECK"),"CHECK"))</x:f>
      </x:c>
      <x:c r="R58" s="3"/>
    </x:row>
    <x:row r="59" ht="22" customHeight="1">
      <x:c r="A59" s="8"/>
      <x:c r="B59" s="8"/>
      <x:c r="C59" s="8"/>
      <x:c r="D59" s="8"/>
      <x:c r="E59" s="7"/>
      <x:c r="F59" s="7"/>
      <x:c r="G59" s="7"/>
      <x:c r="H59" s="7"/>
      <x:c r="I59" s="7"/>
      <x:c r="J59" s="8"/>
      <x:c r="K59" s="7"/>
      <x:c r="L59" s="7"/>
      <x:c r="M59" s="7"/>
      <x:c r="N59" s="7"/>
      <x:c r="O59" s="7"/>
      <x:c r="P59" s="7"/>
      <x:c r="Q59" s="3" t="str">
        <x:f>IF(COUNTA(A59:P59)=0,"",IFERROR(IF(AND(A59&lt;&gt;"",COUNTIF($A$2:$A$201,A59)=1,OR(LEFT(B59,2)="V-",LEFT(B59,4)="SYN-"),LEN(MID(B59,IF(LEFT(B59,2)="V-",3,5),30))&gt;0,ISNUMBER(VALUE(MID(B59,IF(LEFT(B59,2)="V-",3,5),30))),VALUE(MID(B59,IF(LEFT(B59,2)="V-",3,5),30))&gt;=0,MOD(VALUE(MID(B59,IF(LEFT(B59,2)="V-",3,5),30)),1)=0,COUNTIFS(Slots!$A$2:$A$31,"E1",Slots!$B$2:$B$31,C59)=1,ISNUMBER(SEARCH("|"&amp;D59&amp;"|","|"&amp;Settings!$B$9&amp;"|")),OR(E59="regular",E59="first"),OR(F59="include",F59="duplicate",F59="late"),OR(H59="yes",H59="no"),OR(I59="success",I59="failed",I59="unknown",I59="not_sent"),OR(K59="yes",K59="no",K59="none",K59="conflict",K59="unknown"),OR(L59="text",L59="emoji",L59="voice",L59="none",L59="unknown"),OR(M59="yes",M59="no",M59="unknown"),OR(N59="yes",N59="no",N59="unknown"),ISNUMBER(O59),OR(O59=0,O59=1),OR(P59="",P59="soft_yes",P59="forgot",P59="time_place",P59="clash",P59="travel",P59="personal",P59="unknown",P59="silent_but_came"),OR(I59&lt;&gt;"success",AND(J59&lt;&gt;"",COUNTIFS($J$2:$J$201,J59,$I$2:$I$201,"success")=1)),OR(I59&lt;&gt;"not_sent",J59=""),IF(F59="duplicate",AND(COUNTIFS($A$2:$A$201,G59,$B$2:$B$201,B59,$C$2:$C$201,C59,$F$2:$F$201,"include")=1,H59="no",I59="not_sent",K59="none",M59="no",N59="no",O59=0),AND(G59="",N59&lt;&gt;"unknown",COUNTIFS($B$2:$B$201,B59,$F$2:$F$201,"&lt;&gt;duplicate")=1)),IF(F59="include",AND(H59="yes",K59&lt;&gt;"conflict",K59&lt;&gt;"unknown",M59&lt;&gt;"unknown",IF(OR(K59="yes",K59="no"),AND(M59="yes",OR(L59="text",L59="emoji",L59="voice")),L59="none")),TRUE),IF(F59="late",AND(H59="no",I59="not_sent",K59="none",L59="none",O59=0),TRUE)),"OK","CHECK"),"CHECK"))</x:f>
      </x:c>
      <x:c r="R59" s="3"/>
    </x:row>
    <x:row r="60" ht="22" customHeight="1">
      <x:c r="A60" s="8"/>
      <x:c r="B60" s="8"/>
      <x:c r="C60" s="8"/>
      <x:c r="D60" s="8"/>
      <x:c r="E60" s="7"/>
      <x:c r="F60" s="7"/>
      <x:c r="G60" s="7"/>
      <x:c r="H60" s="7"/>
      <x:c r="I60" s="7"/>
      <x:c r="J60" s="8"/>
      <x:c r="K60" s="7"/>
      <x:c r="L60" s="7"/>
      <x:c r="M60" s="7"/>
      <x:c r="N60" s="7"/>
      <x:c r="O60" s="7"/>
      <x:c r="P60" s="7"/>
      <x:c r="Q60" s="3" t="str">
        <x:f>IF(COUNTA(A60:P60)=0,"",IFERROR(IF(AND(A60&lt;&gt;"",COUNTIF($A$2:$A$201,A60)=1,OR(LEFT(B60,2)="V-",LEFT(B60,4)="SYN-"),LEN(MID(B60,IF(LEFT(B60,2)="V-",3,5),30))&gt;0,ISNUMBER(VALUE(MID(B60,IF(LEFT(B60,2)="V-",3,5),30))),VALUE(MID(B60,IF(LEFT(B60,2)="V-",3,5),30))&gt;=0,MOD(VALUE(MID(B60,IF(LEFT(B60,2)="V-",3,5),30)),1)=0,COUNTIFS(Slots!$A$2:$A$31,"E1",Slots!$B$2:$B$31,C60)=1,ISNUMBER(SEARCH("|"&amp;D60&amp;"|","|"&amp;Settings!$B$9&amp;"|")),OR(E60="regular",E60="first"),OR(F60="include",F60="duplicate",F60="late"),OR(H60="yes",H60="no"),OR(I60="success",I60="failed",I60="unknown",I60="not_sent"),OR(K60="yes",K60="no",K60="none",K60="conflict",K60="unknown"),OR(L60="text",L60="emoji",L60="voice",L60="none",L60="unknown"),OR(M60="yes",M60="no",M60="unknown"),OR(N60="yes",N60="no",N60="unknown"),ISNUMBER(O60),OR(O60=0,O60=1),OR(P60="",P60="soft_yes",P60="forgot",P60="time_place",P60="clash",P60="travel",P60="personal",P60="unknown",P60="silent_but_came"),OR(I60&lt;&gt;"success",AND(J60&lt;&gt;"",COUNTIFS($J$2:$J$201,J60,$I$2:$I$201,"success")=1)),OR(I60&lt;&gt;"not_sent",J60=""),IF(F60="duplicate",AND(COUNTIFS($A$2:$A$201,G60,$B$2:$B$201,B60,$C$2:$C$201,C60,$F$2:$F$201,"include")=1,H60="no",I60="not_sent",K60="none",M60="no",N60="no",O60=0),AND(G60="",N60&lt;&gt;"unknown",COUNTIFS($B$2:$B$201,B60,$F$2:$F$201,"&lt;&gt;duplicate")=1)),IF(F60="include",AND(H60="yes",K60&lt;&gt;"conflict",K60&lt;&gt;"unknown",M60&lt;&gt;"unknown",IF(OR(K60="yes",K60="no"),AND(M60="yes",OR(L60="text",L60="emoji",L60="voice")),L60="none")),TRUE),IF(F60="late",AND(H60="no",I60="not_sent",K60="none",L60="none",O60=0),TRUE)),"OK","CHECK"),"CHECK"))</x:f>
      </x:c>
      <x:c r="R60" s="3"/>
    </x:row>
    <x:row r="61" ht="22" customHeight="1">
      <x:c r="A61" s="8"/>
      <x:c r="B61" s="8"/>
      <x:c r="C61" s="8"/>
      <x:c r="D61" s="8"/>
      <x:c r="E61" s="7"/>
      <x:c r="F61" s="7"/>
      <x:c r="G61" s="7"/>
      <x:c r="H61" s="7"/>
      <x:c r="I61" s="7"/>
      <x:c r="J61" s="8"/>
      <x:c r="K61" s="7"/>
      <x:c r="L61" s="7"/>
      <x:c r="M61" s="7"/>
      <x:c r="N61" s="7"/>
      <x:c r="O61" s="7"/>
      <x:c r="P61" s="7"/>
      <x:c r="Q61" s="3" t="str">
        <x:f>IF(COUNTA(A61:P61)=0,"",IFERROR(IF(AND(A61&lt;&gt;"",COUNTIF($A$2:$A$201,A61)=1,OR(LEFT(B61,2)="V-",LEFT(B61,4)="SYN-"),LEN(MID(B61,IF(LEFT(B61,2)="V-",3,5),30))&gt;0,ISNUMBER(VALUE(MID(B61,IF(LEFT(B61,2)="V-",3,5),30))),VALUE(MID(B61,IF(LEFT(B61,2)="V-",3,5),30))&gt;=0,MOD(VALUE(MID(B61,IF(LEFT(B61,2)="V-",3,5),30)),1)=0,COUNTIFS(Slots!$A$2:$A$31,"E1",Slots!$B$2:$B$31,C61)=1,ISNUMBER(SEARCH("|"&amp;D61&amp;"|","|"&amp;Settings!$B$9&amp;"|")),OR(E61="regular",E61="first"),OR(F61="include",F61="duplicate",F61="late"),OR(H61="yes",H61="no"),OR(I61="success",I61="failed",I61="unknown",I61="not_sent"),OR(K61="yes",K61="no",K61="none",K61="conflict",K61="unknown"),OR(L61="text",L61="emoji",L61="voice",L61="none",L61="unknown"),OR(M61="yes",M61="no",M61="unknown"),OR(N61="yes",N61="no",N61="unknown"),ISNUMBER(O61),OR(O61=0,O61=1),OR(P61="",P61="soft_yes",P61="forgot",P61="time_place",P61="clash",P61="travel",P61="personal",P61="unknown",P61="silent_but_came"),OR(I61&lt;&gt;"success",AND(J61&lt;&gt;"",COUNTIFS($J$2:$J$201,J61,$I$2:$I$201,"success")=1)),OR(I61&lt;&gt;"not_sent",J61=""),IF(F61="duplicate",AND(COUNTIFS($A$2:$A$201,G61,$B$2:$B$201,B61,$C$2:$C$201,C61,$F$2:$F$201,"include")=1,H61="no",I61="not_sent",K61="none",M61="no",N61="no",O61=0),AND(G61="",N61&lt;&gt;"unknown",COUNTIFS($B$2:$B$201,B61,$F$2:$F$201,"&lt;&gt;duplicate")=1)),IF(F61="include",AND(H61="yes",K61&lt;&gt;"conflict",K61&lt;&gt;"unknown",M61&lt;&gt;"unknown",IF(OR(K61="yes",K61="no"),AND(M61="yes",OR(L61="text",L61="emoji",L61="voice")),L61="none")),TRUE),IF(F61="late",AND(H61="no",I61="not_sent",K61="none",L61="none",O61=0),TRUE)),"OK","CHECK"),"CHECK"))</x:f>
      </x:c>
      <x:c r="R61" s="3"/>
    </x:row>
    <x:row r="62" ht="22" customHeight="1">
      <x:c r="A62" s="8"/>
      <x:c r="B62" s="8"/>
      <x:c r="C62" s="8"/>
      <x:c r="D62" s="8"/>
      <x:c r="E62" s="7"/>
      <x:c r="F62" s="7"/>
      <x:c r="G62" s="7"/>
      <x:c r="H62" s="7"/>
      <x:c r="I62" s="7"/>
      <x:c r="J62" s="8"/>
      <x:c r="K62" s="7"/>
      <x:c r="L62" s="7"/>
      <x:c r="M62" s="7"/>
      <x:c r="N62" s="7"/>
      <x:c r="O62" s="7"/>
      <x:c r="P62" s="7"/>
      <x:c r="Q62" s="3" t="str">
        <x:f>IF(COUNTA(A62:P62)=0,"",IFERROR(IF(AND(A62&lt;&gt;"",COUNTIF($A$2:$A$201,A62)=1,OR(LEFT(B62,2)="V-",LEFT(B62,4)="SYN-"),LEN(MID(B62,IF(LEFT(B62,2)="V-",3,5),30))&gt;0,ISNUMBER(VALUE(MID(B62,IF(LEFT(B62,2)="V-",3,5),30))),VALUE(MID(B62,IF(LEFT(B62,2)="V-",3,5),30))&gt;=0,MOD(VALUE(MID(B62,IF(LEFT(B62,2)="V-",3,5),30)),1)=0,COUNTIFS(Slots!$A$2:$A$31,"E1",Slots!$B$2:$B$31,C62)=1,ISNUMBER(SEARCH("|"&amp;D62&amp;"|","|"&amp;Settings!$B$9&amp;"|")),OR(E62="regular",E62="first"),OR(F62="include",F62="duplicate",F62="late"),OR(H62="yes",H62="no"),OR(I62="success",I62="failed",I62="unknown",I62="not_sent"),OR(K62="yes",K62="no",K62="none",K62="conflict",K62="unknown"),OR(L62="text",L62="emoji",L62="voice",L62="none",L62="unknown"),OR(M62="yes",M62="no",M62="unknown"),OR(N62="yes",N62="no",N62="unknown"),ISNUMBER(O62),OR(O62=0,O62=1),OR(P62="",P62="soft_yes",P62="forgot",P62="time_place",P62="clash",P62="travel",P62="personal",P62="unknown",P62="silent_but_came"),OR(I62&lt;&gt;"success",AND(J62&lt;&gt;"",COUNTIFS($J$2:$J$201,J62,$I$2:$I$201,"success")=1)),OR(I62&lt;&gt;"not_sent",J62=""),IF(F62="duplicate",AND(COUNTIFS($A$2:$A$201,G62,$B$2:$B$201,B62,$C$2:$C$201,C62,$F$2:$F$201,"include")=1,H62="no",I62="not_sent",K62="none",M62="no",N62="no",O62=0),AND(G62="",N62&lt;&gt;"unknown",COUNTIFS($B$2:$B$201,B62,$F$2:$F$201,"&lt;&gt;duplicate")=1)),IF(F62="include",AND(H62="yes",K62&lt;&gt;"conflict",K62&lt;&gt;"unknown",M62&lt;&gt;"unknown",IF(OR(K62="yes",K62="no"),AND(M62="yes",OR(L62="text",L62="emoji",L62="voice")),L62="none")),TRUE),IF(F62="late",AND(H62="no",I62="not_sent",K62="none",L62="none",O62=0),TRUE)),"OK","CHECK"),"CHECK"))</x:f>
      </x:c>
      <x:c r="R62" s="3"/>
    </x:row>
    <x:row r="63" ht="22" customHeight="1">
      <x:c r="A63" s="8"/>
      <x:c r="B63" s="8"/>
      <x:c r="C63" s="8"/>
      <x:c r="D63" s="8"/>
      <x:c r="E63" s="7"/>
      <x:c r="F63" s="7"/>
      <x:c r="G63" s="7"/>
      <x:c r="H63" s="7"/>
      <x:c r="I63" s="7"/>
      <x:c r="J63" s="8"/>
      <x:c r="K63" s="7"/>
      <x:c r="L63" s="7"/>
      <x:c r="M63" s="7"/>
      <x:c r="N63" s="7"/>
      <x:c r="O63" s="7"/>
      <x:c r="P63" s="7"/>
      <x:c r="Q63" s="3" t="str">
        <x:f>IF(COUNTA(A63:P63)=0,"",IFERROR(IF(AND(A63&lt;&gt;"",COUNTIF($A$2:$A$201,A63)=1,OR(LEFT(B63,2)="V-",LEFT(B63,4)="SYN-"),LEN(MID(B63,IF(LEFT(B63,2)="V-",3,5),30))&gt;0,ISNUMBER(VALUE(MID(B63,IF(LEFT(B63,2)="V-",3,5),30))),VALUE(MID(B63,IF(LEFT(B63,2)="V-",3,5),30))&gt;=0,MOD(VALUE(MID(B63,IF(LEFT(B63,2)="V-",3,5),30)),1)=0,COUNTIFS(Slots!$A$2:$A$31,"E1",Slots!$B$2:$B$31,C63)=1,ISNUMBER(SEARCH("|"&amp;D63&amp;"|","|"&amp;Settings!$B$9&amp;"|")),OR(E63="regular",E63="first"),OR(F63="include",F63="duplicate",F63="late"),OR(H63="yes",H63="no"),OR(I63="success",I63="failed",I63="unknown",I63="not_sent"),OR(K63="yes",K63="no",K63="none",K63="conflict",K63="unknown"),OR(L63="text",L63="emoji",L63="voice",L63="none",L63="unknown"),OR(M63="yes",M63="no",M63="unknown"),OR(N63="yes",N63="no",N63="unknown"),ISNUMBER(O63),OR(O63=0,O63=1),OR(P63="",P63="soft_yes",P63="forgot",P63="time_place",P63="clash",P63="travel",P63="personal",P63="unknown",P63="silent_but_came"),OR(I63&lt;&gt;"success",AND(J63&lt;&gt;"",COUNTIFS($J$2:$J$201,J63,$I$2:$I$201,"success")=1)),OR(I63&lt;&gt;"not_sent",J63=""),IF(F63="duplicate",AND(COUNTIFS($A$2:$A$201,G63,$B$2:$B$201,B63,$C$2:$C$201,C63,$F$2:$F$201,"include")=1,H63="no",I63="not_sent",K63="none",M63="no",N63="no",O63=0),AND(G63="",N63&lt;&gt;"unknown",COUNTIFS($B$2:$B$201,B63,$F$2:$F$201,"&lt;&gt;duplicate")=1)),IF(F63="include",AND(H63="yes",K63&lt;&gt;"conflict",K63&lt;&gt;"unknown",M63&lt;&gt;"unknown",IF(OR(K63="yes",K63="no"),AND(M63="yes",OR(L63="text",L63="emoji",L63="voice")),L63="none")),TRUE),IF(F63="late",AND(H63="no",I63="not_sent",K63="none",L63="none",O63=0),TRUE)),"OK","CHECK"),"CHECK"))</x:f>
      </x:c>
      <x:c r="R63" s="3"/>
    </x:row>
    <x:row r="64" ht="22" customHeight="1">
      <x:c r="A64" s="8"/>
      <x:c r="B64" s="8"/>
      <x:c r="C64" s="8"/>
      <x:c r="D64" s="8"/>
      <x:c r="E64" s="7"/>
      <x:c r="F64" s="7"/>
      <x:c r="G64" s="7"/>
      <x:c r="H64" s="7"/>
      <x:c r="I64" s="7"/>
      <x:c r="J64" s="8"/>
      <x:c r="K64" s="7"/>
      <x:c r="L64" s="7"/>
      <x:c r="M64" s="7"/>
      <x:c r="N64" s="7"/>
      <x:c r="O64" s="7"/>
      <x:c r="P64" s="7"/>
      <x:c r="Q64" s="3" t="str">
        <x:f>IF(COUNTA(A64:P64)=0,"",IFERROR(IF(AND(A64&lt;&gt;"",COUNTIF($A$2:$A$201,A64)=1,OR(LEFT(B64,2)="V-",LEFT(B64,4)="SYN-"),LEN(MID(B64,IF(LEFT(B64,2)="V-",3,5),30))&gt;0,ISNUMBER(VALUE(MID(B64,IF(LEFT(B64,2)="V-",3,5),30))),VALUE(MID(B64,IF(LEFT(B64,2)="V-",3,5),30))&gt;=0,MOD(VALUE(MID(B64,IF(LEFT(B64,2)="V-",3,5),30)),1)=0,COUNTIFS(Slots!$A$2:$A$31,"E1",Slots!$B$2:$B$31,C64)=1,ISNUMBER(SEARCH("|"&amp;D64&amp;"|","|"&amp;Settings!$B$9&amp;"|")),OR(E64="regular",E64="first"),OR(F64="include",F64="duplicate",F64="late"),OR(H64="yes",H64="no"),OR(I64="success",I64="failed",I64="unknown",I64="not_sent"),OR(K64="yes",K64="no",K64="none",K64="conflict",K64="unknown"),OR(L64="text",L64="emoji",L64="voice",L64="none",L64="unknown"),OR(M64="yes",M64="no",M64="unknown"),OR(N64="yes",N64="no",N64="unknown"),ISNUMBER(O64),OR(O64=0,O64=1),OR(P64="",P64="soft_yes",P64="forgot",P64="time_place",P64="clash",P64="travel",P64="personal",P64="unknown",P64="silent_but_came"),OR(I64&lt;&gt;"success",AND(J64&lt;&gt;"",COUNTIFS($J$2:$J$201,J64,$I$2:$I$201,"success")=1)),OR(I64&lt;&gt;"not_sent",J64=""),IF(F64="duplicate",AND(COUNTIFS($A$2:$A$201,G64,$B$2:$B$201,B64,$C$2:$C$201,C64,$F$2:$F$201,"include")=1,H64="no",I64="not_sent",K64="none",M64="no",N64="no",O64=0),AND(G64="",N64&lt;&gt;"unknown",COUNTIFS($B$2:$B$201,B64,$F$2:$F$201,"&lt;&gt;duplicate")=1)),IF(F64="include",AND(H64="yes",K64&lt;&gt;"conflict",K64&lt;&gt;"unknown",M64&lt;&gt;"unknown",IF(OR(K64="yes",K64="no"),AND(M64="yes",OR(L64="text",L64="emoji",L64="voice")),L64="none")),TRUE),IF(F64="late",AND(H64="no",I64="not_sent",K64="none",L64="none",O64=0),TRUE)),"OK","CHECK"),"CHECK"))</x:f>
      </x:c>
      <x:c r="R64" s="3"/>
    </x:row>
    <x:row r="65" ht="22" customHeight="1">
      <x:c r="A65" s="8"/>
      <x:c r="B65" s="8"/>
      <x:c r="C65" s="8"/>
      <x:c r="D65" s="8"/>
      <x:c r="E65" s="7"/>
      <x:c r="F65" s="7"/>
      <x:c r="G65" s="7"/>
      <x:c r="H65" s="7"/>
      <x:c r="I65" s="7"/>
      <x:c r="J65" s="8"/>
      <x:c r="K65" s="7"/>
      <x:c r="L65" s="7"/>
      <x:c r="M65" s="7"/>
      <x:c r="N65" s="7"/>
      <x:c r="O65" s="7"/>
      <x:c r="P65" s="7"/>
      <x:c r="Q65" s="3" t="str">
        <x:f>IF(COUNTA(A65:P65)=0,"",IFERROR(IF(AND(A65&lt;&gt;"",COUNTIF($A$2:$A$201,A65)=1,OR(LEFT(B65,2)="V-",LEFT(B65,4)="SYN-"),LEN(MID(B65,IF(LEFT(B65,2)="V-",3,5),30))&gt;0,ISNUMBER(VALUE(MID(B65,IF(LEFT(B65,2)="V-",3,5),30))),VALUE(MID(B65,IF(LEFT(B65,2)="V-",3,5),30))&gt;=0,MOD(VALUE(MID(B65,IF(LEFT(B65,2)="V-",3,5),30)),1)=0,COUNTIFS(Slots!$A$2:$A$31,"E1",Slots!$B$2:$B$31,C65)=1,ISNUMBER(SEARCH("|"&amp;D65&amp;"|","|"&amp;Settings!$B$9&amp;"|")),OR(E65="regular",E65="first"),OR(F65="include",F65="duplicate",F65="late"),OR(H65="yes",H65="no"),OR(I65="success",I65="failed",I65="unknown",I65="not_sent"),OR(K65="yes",K65="no",K65="none",K65="conflict",K65="unknown"),OR(L65="text",L65="emoji",L65="voice",L65="none",L65="unknown"),OR(M65="yes",M65="no",M65="unknown"),OR(N65="yes",N65="no",N65="unknown"),ISNUMBER(O65),OR(O65=0,O65=1),OR(P65="",P65="soft_yes",P65="forgot",P65="time_place",P65="clash",P65="travel",P65="personal",P65="unknown",P65="silent_but_came"),OR(I65&lt;&gt;"success",AND(J65&lt;&gt;"",COUNTIFS($J$2:$J$201,J65,$I$2:$I$201,"success")=1)),OR(I65&lt;&gt;"not_sent",J65=""),IF(F65="duplicate",AND(COUNTIFS($A$2:$A$201,G65,$B$2:$B$201,B65,$C$2:$C$201,C65,$F$2:$F$201,"include")=1,H65="no",I65="not_sent",K65="none",M65="no",N65="no",O65=0),AND(G65="",N65&lt;&gt;"unknown",COUNTIFS($B$2:$B$201,B65,$F$2:$F$201,"&lt;&gt;duplicate")=1)),IF(F65="include",AND(H65="yes",K65&lt;&gt;"conflict",K65&lt;&gt;"unknown",M65&lt;&gt;"unknown",IF(OR(K65="yes",K65="no"),AND(M65="yes",OR(L65="text",L65="emoji",L65="voice")),L65="none")),TRUE),IF(F65="late",AND(H65="no",I65="not_sent",K65="none",L65="none",O65=0),TRUE)),"OK","CHECK"),"CHECK"))</x:f>
      </x:c>
      <x:c r="R65" s="3"/>
    </x:row>
    <x:row r="66" ht="22" customHeight="1">
      <x:c r="A66" s="8"/>
      <x:c r="B66" s="8"/>
      <x:c r="C66" s="8"/>
      <x:c r="D66" s="8"/>
      <x:c r="E66" s="7"/>
      <x:c r="F66" s="7"/>
      <x:c r="G66" s="7"/>
      <x:c r="H66" s="7"/>
      <x:c r="I66" s="7"/>
      <x:c r="J66" s="8"/>
      <x:c r="K66" s="7"/>
      <x:c r="L66" s="7"/>
      <x:c r="M66" s="7"/>
      <x:c r="N66" s="7"/>
      <x:c r="O66" s="7"/>
      <x:c r="P66" s="7"/>
      <x:c r="Q66" s="3" t="str">
        <x:f>IF(COUNTA(A66:P66)=0,"",IFERROR(IF(AND(A66&lt;&gt;"",COUNTIF($A$2:$A$201,A66)=1,OR(LEFT(B66,2)="V-",LEFT(B66,4)="SYN-"),LEN(MID(B66,IF(LEFT(B66,2)="V-",3,5),30))&gt;0,ISNUMBER(VALUE(MID(B66,IF(LEFT(B66,2)="V-",3,5),30))),VALUE(MID(B66,IF(LEFT(B66,2)="V-",3,5),30))&gt;=0,MOD(VALUE(MID(B66,IF(LEFT(B66,2)="V-",3,5),30)),1)=0,COUNTIFS(Slots!$A$2:$A$31,"E1",Slots!$B$2:$B$31,C66)=1,ISNUMBER(SEARCH("|"&amp;D66&amp;"|","|"&amp;Settings!$B$9&amp;"|")),OR(E66="regular",E66="first"),OR(F66="include",F66="duplicate",F66="late"),OR(H66="yes",H66="no"),OR(I66="success",I66="failed",I66="unknown",I66="not_sent"),OR(K66="yes",K66="no",K66="none",K66="conflict",K66="unknown"),OR(L66="text",L66="emoji",L66="voice",L66="none",L66="unknown"),OR(M66="yes",M66="no",M66="unknown"),OR(N66="yes",N66="no",N66="unknown"),ISNUMBER(O66),OR(O66=0,O66=1),OR(P66="",P66="soft_yes",P66="forgot",P66="time_place",P66="clash",P66="travel",P66="personal",P66="unknown",P66="silent_but_came"),OR(I66&lt;&gt;"success",AND(J66&lt;&gt;"",COUNTIFS($J$2:$J$201,J66,$I$2:$I$201,"success")=1)),OR(I66&lt;&gt;"not_sent",J66=""),IF(F66="duplicate",AND(COUNTIFS($A$2:$A$201,G66,$B$2:$B$201,B66,$C$2:$C$201,C66,$F$2:$F$201,"include")=1,H66="no",I66="not_sent",K66="none",M66="no",N66="no",O66=0),AND(G66="",N66&lt;&gt;"unknown",COUNTIFS($B$2:$B$201,B66,$F$2:$F$201,"&lt;&gt;duplicate")=1)),IF(F66="include",AND(H66="yes",K66&lt;&gt;"conflict",K66&lt;&gt;"unknown",M66&lt;&gt;"unknown",IF(OR(K66="yes",K66="no"),AND(M66="yes",OR(L66="text",L66="emoji",L66="voice")),L66="none")),TRUE),IF(F66="late",AND(H66="no",I66="not_sent",K66="none",L66="none",O66=0),TRUE)),"OK","CHECK"),"CHECK"))</x:f>
      </x:c>
      <x:c r="R66" s="3"/>
    </x:row>
    <x:row r="67" ht="22" customHeight="1">
      <x:c r="A67" s="8"/>
      <x:c r="B67" s="8"/>
      <x:c r="C67" s="8"/>
      <x:c r="D67" s="8"/>
      <x:c r="E67" s="7"/>
      <x:c r="F67" s="7"/>
      <x:c r="G67" s="7"/>
      <x:c r="H67" s="7"/>
      <x:c r="I67" s="7"/>
      <x:c r="J67" s="8"/>
      <x:c r="K67" s="7"/>
      <x:c r="L67" s="7"/>
      <x:c r="M67" s="7"/>
      <x:c r="N67" s="7"/>
      <x:c r="O67" s="7"/>
      <x:c r="P67" s="7"/>
      <x:c r="Q67" s="3" t="str">
        <x:f>IF(COUNTA(A67:P67)=0,"",IFERROR(IF(AND(A67&lt;&gt;"",COUNTIF($A$2:$A$201,A67)=1,OR(LEFT(B67,2)="V-",LEFT(B67,4)="SYN-"),LEN(MID(B67,IF(LEFT(B67,2)="V-",3,5),30))&gt;0,ISNUMBER(VALUE(MID(B67,IF(LEFT(B67,2)="V-",3,5),30))),VALUE(MID(B67,IF(LEFT(B67,2)="V-",3,5),30))&gt;=0,MOD(VALUE(MID(B67,IF(LEFT(B67,2)="V-",3,5),30)),1)=0,COUNTIFS(Slots!$A$2:$A$31,"E1",Slots!$B$2:$B$31,C67)=1,ISNUMBER(SEARCH("|"&amp;D67&amp;"|","|"&amp;Settings!$B$9&amp;"|")),OR(E67="regular",E67="first"),OR(F67="include",F67="duplicate",F67="late"),OR(H67="yes",H67="no"),OR(I67="success",I67="failed",I67="unknown",I67="not_sent"),OR(K67="yes",K67="no",K67="none",K67="conflict",K67="unknown"),OR(L67="text",L67="emoji",L67="voice",L67="none",L67="unknown"),OR(M67="yes",M67="no",M67="unknown"),OR(N67="yes",N67="no",N67="unknown"),ISNUMBER(O67),OR(O67=0,O67=1),OR(P67="",P67="soft_yes",P67="forgot",P67="time_place",P67="clash",P67="travel",P67="personal",P67="unknown",P67="silent_but_came"),OR(I67&lt;&gt;"success",AND(J67&lt;&gt;"",COUNTIFS($J$2:$J$201,J67,$I$2:$I$201,"success")=1)),OR(I67&lt;&gt;"not_sent",J67=""),IF(F67="duplicate",AND(COUNTIFS($A$2:$A$201,G67,$B$2:$B$201,B67,$C$2:$C$201,C67,$F$2:$F$201,"include")=1,H67="no",I67="not_sent",K67="none",M67="no",N67="no",O67=0),AND(G67="",N67&lt;&gt;"unknown",COUNTIFS($B$2:$B$201,B67,$F$2:$F$201,"&lt;&gt;duplicate")=1)),IF(F67="include",AND(H67="yes",K67&lt;&gt;"conflict",K67&lt;&gt;"unknown",M67&lt;&gt;"unknown",IF(OR(K67="yes",K67="no"),AND(M67="yes",OR(L67="text",L67="emoji",L67="voice")),L67="none")),TRUE),IF(F67="late",AND(H67="no",I67="not_sent",K67="none",L67="none",O67=0),TRUE)),"OK","CHECK"),"CHECK"))</x:f>
      </x:c>
      <x:c r="R67" s="3"/>
    </x:row>
    <x:row r="68" ht="22" customHeight="1">
      <x:c r="A68" s="8"/>
      <x:c r="B68" s="8"/>
      <x:c r="C68" s="8"/>
      <x:c r="D68" s="8"/>
      <x:c r="E68" s="7"/>
      <x:c r="F68" s="7"/>
      <x:c r="G68" s="7"/>
      <x:c r="H68" s="7"/>
      <x:c r="I68" s="7"/>
      <x:c r="J68" s="8"/>
      <x:c r="K68" s="7"/>
      <x:c r="L68" s="7"/>
      <x:c r="M68" s="7"/>
      <x:c r="N68" s="7"/>
      <x:c r="O68" s="7"/>
      <x:c r="P68" s="7"/>
      <x:c r="Q68" s="3" t="str">
        <x:f>IF(COUNTA(A68:P68)=0,"",IFERROR(IF(AND(A68&lt;&gt;"",COUNTIF($A$2:$A$201,A68)=1,OR(LEFT(B68,2)="V-",LEFT(B68,4)="SYN-"),LEN(MID(B68,IF(LEFT(B68,2)="V-",3,5),30))&gt;0,ISNUMBER(VALUE(MID(B68,IF(LEFT(B68,2)="V-",3,5),30))),VALUE(MID(B68,IF(LEFT(B68,2)="V-",3,5),30))&gt;=0,MOD(VALUE(MID(B68,IF(LEFT(B68,2)="V-",3,5),30)),1)=0,COUNTIFS(Slots!$A$2:$A$31,"E1",Slots!$B$2:$B$31,C68)=1,ISNUMBER(SEARCH("|"&amp;D68&amp;"|","|"&amp;Settings!$B$9&amp;"|")),OR(E68="regular",E68="first"),OR(F68="include",F68="duplicate",F68="late"),OR(H68="yes",H68="no"),OR(I68="success",I68="failed",I68="unknown",I68="not_sent"),OR(K68="yes",K68="no",K68="none",K68="conflict",K68="unknown"),OR(L68="text",L68="emoji",L68="voice",L68="none",L68="unknown"),OR(M68="yes",M68="no",M68="unknown"),OR(N68="yes",N68="no",N68="unknown"),ISNUMBER(O68),OR(O68=0,O68=1),OR(P68="",P68="soft_yes",P68="forgot",P68="time_place",P68="clash",P68="travel",P68="personal",P68="unknown",P68="silent_but_came"),OR(I68&lt;&gt;"success",AND(J68&lt;&gt;"",COUNTIFS($J$2:$J$201,J68,$I$2:$I$201,"success")=1)),OR(I68&lt;&gt;"not_sent",J68=""),IF(F68="duplicate",AND(COUNTIFS($A$2:$A$201,G68,$B$2:$B$201,B68,$C$2:$C$201,C68,$F$2:$F$201,"include")=1,H68="no",I68="not_sent",K68="none",M68="no",N68="no",O68=0),AND(G68="",N68&lt;&gt;"unknown",COUNTIFS($B$2:$B$201,B68,$F$2:$F$201,"&lt;&gt;duplicate")=1)),IF(F68="include",AND(H68="yes",K68&lt;&gt;"conflict",K68&lt;&gt;"unknown",M68&lt;&gt;"unknown",IF(OR(K68="yes",K68="no"),AND(M68="yes",OR(L68="text",L68="emoji",L68="voice")),L68="none")),TRUE),IF(F68="late",AND(H68="no",I68="not_sent",K68="none",L68="none",O68=0),TRUE)),"OK","CHECK"),"CHECK"))</x:f>
      </x:c>
      <x:c r="R68" s="3"/>
    </x:row>
    <x:row r="69" ht="22" customHeight="1">
      <x:c r="A69" s="8"/>
      <x:c r="B69" s="8"/>
      <x:c r="C69" s="8"/>
      <x:c r="D69" s="8"/>
      <x:c r="E69" s="7"/>
      <x:c r="F69" s="7"/>
      <x:c r="G69" s="7"/>
      <x:c r="H69" s="7"/>
      <x:c r="I69" s="7"/>
      <x:c r="J69" s="8"/>
      <x:c r="K69" s="7"/>
      <x:c r="L69" s="7"/>
      <x:c r="M69" s="7"/>
      <x:c r="N69" s="7"/>
      <x:c r="O69" s="7"/>
      <x:c r="P69" s="7"/>
      <x:c r="Q69" s="3" t="str">
        <x:f>IF(COUNTA(A69:P69)=0,"",IFERROR(IF(AND(A69&lt;&gt;"",COUNTIF($A$2:$A$201,A69)=1,OR(LEFT(B69,2)="V-",LEFT(B69,4)="SYN-"),LEN(MID(B69,IF(LEFT(B69,2)="V-",3,5),30))&gt;0,ISNUMBER(VALUE(MID(B69,IF(LEFT(B69,2)="V-",3,5),30))),VALUE(MID(B69,IF(LEFT(B69,2)="V-",3,5),30))&gt;=0,MOD(VALUE(MID(B69,IF(LEFT(B69,2)="V-",3,5),30)),1)=0,COUNTIFS(Slots!$A$2:$A$31,"E1",Slots!$B$2:$B$31,C69)=1,ISNUMBER(SEARCH("|"&amp;D69&amp;"|","|"&amp;Settings!$B$9&amp;"|")),OR(E69="regular",E69="first"),OR(F69="include",F69="duplicate",F69="late"),OR(H69="yes",H69="no"),OR(I69="success",I69="failed",I69="unknown",I69="not_sent"),OR(K69="yes",K69="no",K69="none",K69="conflict",K69="unknown"),OR(L69="text",L69="emoji",L69="voice",L69="none",L69="unknown"),OR(M69="yes",M69="no",M69="unknown"),OR(N69="yes",N69="no",N69="unknown"),ISNUMBER(O69),OR(O69=0,O69=1),OR(P69="",P69="soft_yes",P69="forgot",P69="time_place",P69="clash",P69="travel",P69="personal",P69="unknown",P69="silent_but_came"),OR(I69&lt;&gt;"success",AND(J69&lt;&gt;"",COUNTIFS($J$2:$J$201,J69,$I$2:$I$201,"success")=1)),OR(I69&lt;&gt;"not_sent",J69=""),IF(F69="duplicate",AND(COUNTIFS($A$2:$A$201,G69,$B$2:$B$201,B69,$C$2:$C$201,C69,$F$2:$F$201,"include")=1,H69="no",I69="not_sent",K69="none",M69="no",N69="no",O69=0),AND(G69="",N69&lt;&gt;"unknown",COUNTIFS($B$2:$B$201,B69,$F$2:$F$201,"&lt;&gt;duplicate")=1)),IF(F69="include",AND(H69="yes",K69&lt;&gt;"conflict",K69&lt;&gt;"unknown",M69&lt;&gt;"unknown",IF(OR(K69="yes",K69="no"),AND(M69="yes",OR(L69="text",L69="emoji",L69="voice")),L69="none")),TRUE),IF(F69="late",AND(H69="no",I69="not_sent",K69="none",L69="none",O69=0),TRUE)),"OK","CHECK"),"CHECK"))</x:f>
      </x:c>
      <x:c r="R69" s="3"/>
    </x:row>
    <x:row r="70" ht="22" customHeight="1">
      <x:c r="A70" s="8"/>
      <x:c r="B70" s="8"/>
      <x:c r="C70" s="8"/>
      <x:c r="D70" s="8"/>
      <x:c r="E70" s="7"/>
      <x:c r="F70" s="7"/>
      <x:c r="G70" s="7"/>
      <x:c r="H70" s="7"/>
      <x:c r="I70" s="7"/>
      <x:c r="J70" s="8"/>
      <x:c r="K70" s="7"/>
      <x:c r="L70" s="7"/>
      <x:c r="M70" s="7"/>
      <x:c r="N70" s="7"/>
      <x:c r="O70" s="7"/>
      <x:c r="P70" s="7"/>
      <x:c r="Q70" s="3" t="str">
        <x:f>IF(COUNTA(A70:P70)=0,"",IFERROR(IF(AND(A70&lt;&gt;"",COUNTIF($A$2:$A$201,A70)=1,OR(LEFT(B70,2)="V-",LEFT(B70,4)="SYN-"),LEN(MID(B70,IF(LEFT(B70,2)="V-",3,5),30))&gt;0,ISNUMBER(VALUE(MID(B70,IF(LEFT(B70,2)="V-",3,5),30))),VALUE(MID(B70,IF(LEFT(B70,2)="V-",3,5),30))&gt;=0,MOD(VALUE(MID(B70,IF(LEFT(B70,2)="V-",3,5),30)),1)=0,COUNTIFS(Slots!$A$2:$A$31,"E1",Slots!$B$2:$B$31,C70)=1,ISNUMBER(SEARCH("|"&amp;D70&amp;"|","|"&amp;Settings!$B$9&amp;"|")),OR(E70="regular",E70="first"),OR(F70="include",F70="duplicate",F70="late"),OR(H70="yes",H70="no"),OR(I70="success",I70="failed",I70="unknown",I70="not_sent"),OR(K70="yes",K70="no",K70="none",K70="conflict",K70="unknown"),OR(L70="text",L70="emoji",L70="voice",L70="none",L70="unknown"),OR(M70="yes",M70="no",M70="unknown"),OR(N70="yes",N70="no",N70="unknown"),ISNUMBER(O70),OR(O70=0,O70=1),OR(P70="",P70="soft_yes",P70="forgot",P70="time_place",P70="clash",P70="travel",P70="personal",P70="unknown",P70="silent_but_came"),OR(I70&lt;&gt;"success",AND(J70&lt;&gt;"",COUNTIFS($J$2:$J$201,J70,$I$2:$I$201,"success")=1)),OR(I70&lt;&gt;"not_sent",J70=""),IF(F70="duplicate",AND(COUNTIFS($A$2:$A$201,G70,$B$2:$B$201,B70,$C$2:$C$201,C70,$F$2:$F$201,"include")=1,H70="no",I70="not_sent",K70="none",M70="no",N70="no",O70=0),AND(G70="",N70&lt;&gt;"unknown",COUNTIFS($B$2:$B$201,B70,$F$2:$F$201,"&lt;&gt;duplicate")=1)),IF(F70="include",AND(H70="yes",K70&lt;&gt;"conflict",K70&lt;&gt;"unknown",M70&lt;&gt;"unknown",IF(OR(K70="yes",K70="no"),AND(M70="yes",OR(L70="text",L70="emoji",L70="voice")),L70="none")),TRUE),IF(F70="late",AND(H70="no",I70="not_sent",K70="none",L70="none",O70=0),TRUE)),"OK","CHECK"),"CHECK"))</x:f>
      </x:c>
      <x:c r="R70" s="3"/>
    </x:row>
    <x:row r="71" ht="22" customHeight="1">
      <x:c r="A71" s="8"/>
      <x:c r="B71" s="8"/>
      <x:c r="C71" s="8"/>
      <x:c r="D71" s="8"/>
      <x:c r="E71" s="7"/>
      <x:c r="F71" s="7"/>
      <x:c r="G71" s="7"/>
      <x:c r="H71" s="7"/>
      <x:c r="I71" s="7"/>
      <x:c r="J71" s="8"/>
      <x:c r="K71" s="7"/>
      <x:c r="L71" s="7"/>
      <x:c r="M71" s="7"/>
      <x:c r="N71" s="7"/>
      <x:c r="O71" s="7"/>
      <x:c r="P71" s="7"/>
      <x:c r="Q71" s="3" t="str">
        <x:f>IF(COUNTA(A71:P71)=0,"",IFERROR(IF(AND(A71&lt;&gt;"",COUNTIF($A$2:$A$201,A71)=1,OR(LEFT(B71,2)="V-",LEFT(B71,4)="SYN-"),LEN(MID(B71,IF(LEFT(B71,2)="V-",3,5),30))&gt;0,ISNUMBER(VALUE(MID(B71,IF(LEFT(B71,2)="V-",3,5),30))),VALUE(MID(B71,IF(LEFT(B71,2)="V-",3,5),30))&gt;=0,MOD(VALUE(MID(B71,IF(LEFT(B71,2)="V-",3,5),30)),1)=0,COUNTIFS(Slots!$A$2:$A$31,"E1",Slots!$B$2:$B$31,C71)=1,ISNUMBER(SEARCH("|"&amp;D71&amp;"|","|"&amp;Settings!$B$9&amp;"|")),OR(E71="regular",E71="first"),OR(F71="include",F71="duplicate",F71="late"),OR(H71="yes",H71="no"),OR(I71="success",I71="failed",I71="unknown",I71="not_sent"),OR(K71="yes",K71="no",K71="none",K71="conflict",K71="unknown"),OR(L71="text",L71="emoji",L71="voice",L71="none",L71="unknown"),OR(M71="yes",M71="no",M71="unknown"),OR(N71="yes",N71="no",N71="unknown"),ISNUMBER(O71),OR(O71=0,O71=1),OR(P71="",P71="soft_yes",P71="forgot",P71="time_place",P71="clash",P71="travel",P71="personal",P71="unknown",P71="silent_but_came"),OR(I71&lt;&gt;"success",AND(J71&lt;&gt;"",COUNTIFS($J$2:$J$201,J71,$I$2:$I$201,"success")=1)),OR(I71&lt;&gt;"not_sent",J71=""),IF(F71="duplicate",AND(COUNTIFS($A$2:$A$201,G71,$B$2:$B$201,B71,$C$2:$C$201,C71,$F$2:$F$201,"include")=1,H71="no",I71="not_sent",K71="none",M71="no",N71="no",O71=0),AND(G71="",N71&lt;&gt;"unknown",COUNTIFS($B$2:$B$201,B71,$F$2:$F$201,"&lt;&gt;duplicate")=1)),IF(F71="include",AND(H71="yes",K71&lt;&gt;"conflict",K71&lt;&gt;"unknown",M71&lt;&gt;"unknown",IF(OR(K71="yes",K71="no"),AND(M71="yes",OR(L71="text",L71="emoji",L71="voice")),L71="none")),TRUE),IF(F71="late",AND(H71="no",I71="not_sent",K71="none",L71="none",O71=0),TRUE)),"OK","CHECK"),"CHECK"))</x:f>
      </x:c>
      <x:c r="R71" s="3"/>
    </x:row>
    <x:row r="72" ht="22" customHeight="1">
      <x:c r="A72" s="8"/>
      <x:c r="B72" s="8"/>
      <x:c r="C72" s="8"/>
      <x:c r="D72" s="8"/>
      <x:c r="E72" s="7"/>
      <x:c r="F72" s="7"/>
      <x:c r="G72" s="7"/>
      <x:c r="H72" s="7"/>
      <x:c r="I72" s="7"/>
      <x:c r="J72" s="8"/>
      <x:c r="K72" s="7"/>
      <x:c r="L72" s="7"/>
      <x:c r="M72" s="7"/>
      <x:c r="N72" s="7"/>
      <x:c r="O72" s="7"/>
      <x:c r="P72" s="7"/>
      <x:c r="Q72" s="3" t="str">
        <x:f>IF(COUNTA(A72:P72)=0,"",IFERROR(IF(AND(A72&lt;&gt;"",COUNTIF($A$2:$A$201,A72)=1,OR(LEFT(B72,2)="V-",LEFT(B72,4)="SYN-"),LEN(MID(B72,IF(LEFT(B72,2)="V-",3,5),30))&gt;0,ISNUMBER(VALUE(MID(B72,IF(LEFT(B72,2)="V-",3,5),30))),VALUE(MID(B72,IF(LEFT(B72,2)="V-",3,5),30))&gt;=0,MOD(VALUE(MID(B72,IF(LEFT(B72,2)="V-",3,5),30)),1)=0,COUNTIFS(Slots!$A$2:$A$31,"E1",Slots!$B$2:$B$31,C72)=1,ISNUMBER(SEARCH("|"&amp;D72&amp;"|","|"&amp;Settings!$B$9&amp;"|")),OR(E72="regular",E72="first"),OR(F72="include",F72="duplicate",F72="late"),OR(H72="yes",H72="no"),OR(I72="success",I72="failed",I72="unknown",I72="not_sent"),OR(K72="yes",K72="no",K72="none",K72="conflict",K72="unknown"),OR(L72="text",L72="emoji",L72="voice",L72="none",L72="unknown"),OR(M72="yes",M72="no",M72="unknown"),OR(N72="yes",N72="no",N72="unknown"),ISNUMBER(O72),OR(O72=0,O72=1),OR(P72="",P72="soft_yes",P72="forgot",P72="time_place",P72="clash",P72="travel",P72="personal",P72="unknown",P72="silent_but_came"),OR(I72&lt;&gt;"success",AND(J72&lt;&gt;"",COUNTIFS($J$2:$J$201,J72,$I$2:$I$201,"success")=1)),OR(I72&lt;&gt;"not_sent",J72=""),IF(F72="duplicate",AND(COUNTIFS($A$2:$A$201,G72,$B$2:$B$201,B72,$C$2:$C$201,C72,$F$2:$F$201,"include")=1,H72="no",I72="not_sent",K72="none",M72="no",N72="no",O72=0),AND(G72="",N72&lt;&gt;"unknown",COUNTIFS($B$2:$B$201,B72,$F$2:$F$201,"&lt;&gt;duplicate")=1)),IF(F72="include",AND(H72="yes",K72&lt;&gt;"conflict",K72&lt;&gt;"unknown",M72&lt;&gt;"unknown",IF(OR(K72="yes",K72="no"),AND(M72="yes",OR(L72="text",L72="emoji",L72="voice")),L72="none")),TRUE),IF(F72="late",AND(H72="no",I72="not_sent",K72="none",L72="none",O72=0),TRUE)),"OK","CHECK"),"CHECK"))</x:f>
      </x:c>
      <x:c r="R72" s="3"/>
    </x:row>
    <x:row r="73" ht="22" customHeight="1">
      <x:c r="A73" s="8"/>
      <x:c r="B73" s="8"/>
      <x:c r="C73" s="8"/>
      <x:c r="D73" s="8"/>
      <x:c r="E73" s="7"/>
      <x:c r="F73" s="7"/>
      <x:c r="G73" s="7"/>
      <x:c r="H73" s="7"/>
      <x:c r="I73" s="7"/>
      <x:c r="J73" s="8"/>
      <x:c r="K73" s="7"/>
      <x:c r="L73" s="7"/>
      <x:c r="M73" s="7"/>
      <x:c r="N73" s="7"/>
      <x:c r="O73" s="7"/>
      <x:c r="P73" s="7"/>
      <x:c r="Q73" s="3" t="str">
        <x:f>IF(COUNTA(A73:P73)=0,"",IFERROR(IF(AND(A73&lt;&gt;"",COUNTIF($A$2:$A$201,A73)=1,OR(LEFT(B73,2)="V-",LEFT(B73,4)="SYN-"),LEN(MID(B73,IF(LEFT(B73,2)="V-",3,5),30))&gt;0,ISNUMBER(VALUE(MID(B73,IF(LEFT(B73,2)="V-",3,5),30))),VALUE(MID(B73,IF(LEFT(B73,2)="V-",3,5),30))&gt;=0,MOD(VALUE(MID(B73,IF(LEFT(B73,2)="V-",3,5),30)),1)=0,COUNTIFS(Slots!$A$2:$A$31,"E1",Slots!$B$2:$B$31,C73)=1,ISNUMBER(SEARCH("|"&amp;D73&amp;"|","|"&amp;Settings!$B$9&amp;"|")),OR(E73="regular",E73="first"),OR(F73="include",F73="duplicate",F73="late"),OR(H73="yes",H73="no"),OR(I73="success",I73="failed",I73="unknown",I73="not_sent"),OR(K73="yes",K73="no",K73="none",K73="conflict",K73="unknown"),OR(L73="text",L73="emoji",L73="voice",L73="none",L73="unknown"),OR(M73="yes",M73="no",M73="unknown"),OR(N73="yes",N73="no",N73="unknown"),ISNUMBER(O73),OR(O73=0,O73=1),OR(P73="",P73="soft_yes",P73="forgot",P73="time_place",P73="clash",P73="travel",P73="personal",P73="unknown",P73="silent_but_came"),OR(I73&lt;&gt;"success",AND(J73&lt;&gt;"",COUNTIFS($J$2:$J$201,J73,$I$2:$I$201,"success")=1)),OR(I73&lt;&gt;"not_sent",J73=""),IF(F73="duplicate",AND(COUNTIFS($A$2:$A$201,G73,$B$2:$B$201,B73,$C$2:$C$201,C73,$F$2:$F$201,"include")=1,H73="no",I73="not_sent",K73="none",M73="no",N73="no",O73=0),AND(G73="",N73&lt;&gt;"unknown",COUNTIFS($B$2:$B$201,B73,$F$2:$F$201,"&lt;&gt;duplicate")=1)),IF(F73="include",AND(H73="yes",K73&lt;&gt;"conflict",K73&lt;&gt;"unknown",M73&lt;&gt;"unknown",IF(OR(K73="yes",K73="no"),AND(M73="yes",OR(L73="text",L73="emoji",L73="voice")),L73="none")),TRUE),IF(F73="late",AND(H73="no",I73="not_sent",K73="none",L73="none",O73=0),TRUE)),"OK","CHECK"),"CHECK"))</x:f>
      </x:c>
      <x:c r="R73" s="3"/>
    </x:row>
    <x:row r="74" ht="22" customHeight="1">
      <x:c r="A74" s="8"/>
      <x:c r="B74" s="8"/>
      <x:c r="C74" s="8"/>
      <x:c r="D74" s="8"/>
      <x:c r="E74" s="7"/>
      <x:c r="F74" s="7"/>
      <x:c r="G74" s="7"/>
      <x:c r="H74" s="7"/>
      <x:c r="I74" s="7"/>
      <x:c r="J74" s="8"/>
      <x:c r="K74" s="7"/>
      <x:c r="L74" s="7"/>
      <x:c r="M74" s="7"/>
      <x:c r="N74" s="7"/>
      <x:c r="O74" s="7"/>
      <x:c r="P74" s="7"/>
      <x:c r="Q74" s="3" t="str">
        <x:f>IF(COUNTA(A74:P74)=0,"",IFERROR(IF(AND(A74&lt;&gt;"",COUNTIF($A$2:$A$201,A74)=1,OR(LEFT(B74,2)="V-",LEFT(B74,4)="SYN-"),LEN(MID(B74,IF(LEFT(B74,2)="V-",3,5),30))&gt;0,ISNUMBER(VALUE(MID(B74,IF(LEFT(B74,2)="V-",3,5),30))),VALUE(MID(B74,IF(LEFT(B74,2)="V-",3,5),30))&gt;=0,MOD(VALUE(MID(B74,IF(LEFT(B74,2)="V-",3,5),30)),1)=0,COUNTIFS(Slots!$A$2:$A$31,"E1",Slots!$B$2:$B$31,C74)=1,ISNUMBER(SEARCH("|"&amp;D74&amp;"|","|"&amp;Settings!$B$9&amp;"|")),OR(E74="regular",E74="first"),OR(F74="include",F74="duplicate",F74="late"),OR(H74="yes",H74="no"),OR(I74="success",I74="failed",I74="unknown",I74="not_sent"),OR(K74="yes",K74="no",K74="none",K74="conflict",K74="unknown"),OR(L74="text",L74="emoji",L74="voice",L74="none",L74="unknown"),OR(M74="yes",M74="no",M74="unknown"),OR(N74="yes",N74="no",N74="unknown"),ISNUMBER(O74),OR(O74=0,O74=1),OR(P74="",P74="soft_yes",P74="forgot",P74="time_place",P74="clash",P74="travel",P74="personal",P74="unknown",P74="silent_but_came"),OR(I74&lt;&gt;"success",AND(J74&lt;&gt;"",COUNTIFS($J$2:$J$201,J74,$I$2:$I$201,"success")=1)),OR(I74&lt;&gt;"not_sent",J74=""),IF(F74="duplicate",AND(COUNTIFS($A$2:$A$201,G74,$B$2:$B$201,B74,$C$2:$C$201,C74,$F$2:$F$201,"include")=1,H74="no",I74="not_sent",K74="none",M74="no",N74="no",O74=0),AND(G74="",N74&lt;&gt;"unknown",COUNTIFS($B$2:$B$201,B74,$F$2:$F$201,"&lt;&gt;duplicate")=1)),IF(F74="include",AND(H74="yes",K74&lt;&gt;"conflict",K74&lt;&gt;"unknown",M74&lt;&gt;"unknown",IF(OR(K74="yes",K74="no"),AND(M74="yes",OR(L74="text",L74="emoji",L74="voice")),L74="none")),TRUE),IF(F74="late",AND(H74="no",I74="not_sent",K74="none",L74="none",O74=0),TRUE)),"OK","CHECK"),"CHECK"))</x:f>
      </x:c>
      <x:c r="R74" s="3"/>
    </x:row>
    <x:row r="75" ht="22" customHeight="1">
      <x:c r="A75" s="8"/>
      <x:c r="B75" s="8"/>
      <x:c r="C75" s="8"/>
      <x:c r="D75" s="8"/>
      <x:c r="E75" s="7"/>
      <x:c r="F75" s="7"/>
      <x:c r="G75" s="7"/>
      <x:c r="H75" s="7"/>
      <x:c r="I75" s="7"/>
      <x:c r="J75" s="8"/>
      <x:c r="K75" s="7"/>
      <x:c r="L75" s="7"/>
      <x:c r="M75" s="7"/>
      <x:c r="N75" s="7"/>
      <x:c r="O75" s="7"/>
      <x:c r="P75" s="7"/>
      <x:c r="Q75" s="3" t="str">
        <x:f>IF(COUNTA(A75:P75)=0,"",IFERROR(IF(AND(A75&lt;&gt;"",COUNTIF($A$2:$A$201,A75)=1,OR(LEFT(B75,2)="V-",LEFT(B75,4)="SYN-"),LEN(MID(B75,IF(LEFT(B75,2)="V-",3,5),30))&gt;0,ISNUMBER(VALUE(MID(B75,IF(LEFT(B75,2)="V-",3,5),30))),VALUE(MID(B75,IF(LEFT(B75,2)="V-",3,5),30))&gt;=0,MOD(VALUE(MID(B75,IF(LEFT(B75,2)="V-",3,5),30)),1)=0,COUNTIFS(Slots!$A$2:$A$31,"E1",Slots!$B$2:$B$31,C75)=1,ISNUMBER(SEARCH("|"&amp;D75&amp;"|","|"&amp;Settings!$B$9&amp;"|")),OR(E75="regular",E75="first"),OR(F75="include",F75="duplicate",F75="late"),OR(H75="yes",H75="no"),OR(I75="success",I75="failed",I75="unknown",I75="not_sent"),OR(K75="yes",K75="no",K75="none",K75="conflict",K75="unknown"),OR(L75="text",L75="emoji",L75="voice",L75="none",L75="unknown"),OR(M75="yes",M75="no",M75="unknown"),OR(N75="yes",N75="no",N75="unknown"),ISNUMBER(O75),OR(O75=0,O75=1),OR(P75="",P75="soft_yes",P75="forgot",P75="time_place",P75="clash",P75="travel",P75="personal",P75="unknown",P75="silent_but_came"),OR(I75&lt;&gt;"success",AND(J75&lt;&gt;"",COUNTIFS($J$2:$J$201,J75,$I$2:$I$201,"success")=1)),OR(I75&lt;&gt;"not_sent",J75=""),IF(F75="duplicate",AND(COUNTIFS($A$2:$A$201,G75,$B$2:$B$201,B75,$C$2:$C$201,C75,$F$2:$F$201,"include")=1,H75="no",I75="not_sent",K75="none",M75="no",N75="no",O75=0),AND(G75="",N75&lt;&gt;"unknown",COUNTIFS($B$2:$B$201,B75,$F$2:$F$201,"&lt;&gt;duplicate")=1)),IF(F75="include",AND(H75="yes",K75&lt;&gt;"conflict",K75&lt;&gt;"unknown",M75&lt;&gt;"unknown",IF(OR(K75="yes",K75="no"),AND(M75="yes",OR(L75="text",L75="emoji",L75="voice")),L75="none")),TRUE),IF(F75="late",AND(H75="no",I75="not_sent",K75="none",L75="none",O75=0),TRUE)),"OK","CHECK"),"CHECK"))</x:f>
      </x:c>
      <x:c r="R75" s="3"/>
    </x:row>
    <x:row r="76" ht="22" customHeight="1">
      <x:c r="A76" s="8"/>
      <x:c r="B76" s="8"/>
      <x:c r="C76" s="8"/>
      <x:c r="D76" s="8"/>
      <x:c r="E76" s="7"/>
      <x:c r="F76" s="7"/>
      <x:c r="G76" s="7"/>
      <x:c r="H76" s="7"/>
      <x:c r="I76" s="7"/>
      <x:c r="J76" s="8"/>
      <x:c r="K76" s="7"/>
      <x:c r="L76" s="7"/>
      <x:c r="M76" s="7"/>
      <x:c r="N76" s="7"/>
      <x:c r="O76" s="7"/>
      <x:c r="P76" s="7"/>
      <x:c r="Q76" s="3" t="str">
        <x:f>IF(COUNTA(A76:P76)=0,"",IFERROR(IF(AND(A76&lt;&gt;"",COUNTIF($A$2:$A$201,A76)=1,OR(LEFT(B76,2)="V-",LEFT(B76,4)="SYN-"),LEN(MID(B76,IF(LEFT(B76,2)="V-",3,5),30))&gt;0,ISNUMBER(VALUE(MID(B76,IF(LEFT(B76,2)="V-",3,5),30))),VALUE(MID(B76,IF(LEFT(B76,2)="V-",3,5),30))&gt;=0,MOD(VALUE(MID(B76,IF(LEFT(B76,2)="V-",3,5),30)),1)=0,COUNTIFS(Slots!$A$2:$A$31,"E1",Slots!$B$2:$B$31,C76)=1,ISNUMBER(SEARCH("|"&amp;D76&amp;"|","|"&amp;Settings!$B$9&amp;"|")),OR(E76="regular",E76="first"),OR(F76="include",F76="duplicate",F76="late"),OR(H76="yes",H76="no"),OR(I76="success",I76="failed",I76="unknown",I76="not_sent"),OR(K76="yes",K76="no",K76="none",K76="conflict",K76="unknown"),OR(L76="text",L76="emoji",L76="voice",L76="none",L76="unknown"),OR(M76="yes",M76="no",M76="unknown"),OR(N76="yes",N76="no",N76="unknown"),ISNUMBER(O76),OR(O76=0,O76=1),OR(P76="",P76="soft_yes",P76="forgot",P76="time_place",P76="clash",P76="travel",P76="personal",P76="unknown",P76="silent_but_came"),OR(I76&lt;&gt;"success",AND(J76&lt;&gt;"",COUNTIFS($J$2:$J$201,J76,$I$2:$I$201,"success")=1)),OR(I76&lt;&gt;"not_sent",J76=""),IF(F76="duplicate",AND(COUNTIFS($A$2:$A$201,G76,$B$2:$B$201,B76,$C$2:$C$201,C76,$F$2:$F$201,"include")=1,H76="no",I76="not_sent",K76="none",M76="no",N76="no",O76=0),AND(G76="",N76&lt;&gt;"unknown",COUNTIFS($B$2:$B$201,B76,$F$2:$F$201,"&lt;&gt;duplicate")=1)),IF(F76="include",AND(H76="yes",K76&lt;&gt;"conflict",K76&lt;&gt;"unknown",M76&lt;&gt;"unknown",IF(OR(K76="yes",K76="no"),AND(M76="yes",OR(L76="text",L76="emoji",L76="voice")),L76="none")),TRUE),IF(F76="late",AND(H76="no",I76="not_sent",K76="none",L76="none",O76=0),TRUE)),"OK","CHECK"),"CHECK"))</x:f>
      </x:c>
      <x:c r="R76" s="3"/>
    </x:row>
    <x:row r="77" ht="22" customHeight="1">
      <x:c r="A77" s="8"/>
      <x:c r="B77" s="8"/>
      <x:c r="C77" s="8"/>
      <x:c r="D77" s="8"/>
      <x:c r="E77" s="7"/>
      <x:c r="F77" s="7"/>
      <x:c r="G77" s="7"/>
      <x:c r="H77" s="7"/>
      <x:c r="I77" s="7"/>
      <x:c r="J77" s="8"/>
      <x:c r="K77" s="7"/>
      <x:c r="L77" s="7"/>
      <x:c r="M77" s="7"/>
      <x:c r="N77" s="7"/>
      <x:c r="O77" s="7"/>
      <x:c r="P77" s="7"/>
      <x:c r="Q77" s="3" t="str">
        <x:f>IF(COUNTA(A77:P77)=0,"",IFERROR(IF(AND(A77&lt;&gt;"",COUNTIF($A$2:$A$201,A77)=1,OR(LEFT(B77,2)="V-",LEFT(B77,4)="SYN-"),LEN(MID(B77,IF(LEFT(B77,2)="V-",3,5),30))&gt;0,ISNUMBER(VALUE(MID(B77,IF(LEFT(B77,2)="V-",3,5),30))),VALUE(MID(B77,IF(LEFT(B77,2)="V-",3,5),30))&gt;=0,MOD(VALUE(MID(B77,IF(LEFT(B77,2)="V-",3,5),30)),1)=0,COUNTIFS(Slots!$A$2:$A$31,"E1",Slots!$B$2:$B$31,C77)=1,ISNUMBER(SEARCH("|"&amp;D77&amp;"|","|"&amp;Settings!$B$9&amp;"|")),OR(E77="regular",E77="first"),OR(F77="include",F77="duplicate",F77="late"),OR(H77="yes",H77="no"),OR(I77="success",I77="failed",I77="unknown",I77="not_sent"),OR(K77="yes",K77="no",K77="none",K77="conflict",K77="unknown"),OR(L77="text",L77="emoji",L77="voice",L77="none",L77="unknown"),OR(M77="yes",M77="no",M77="unknown"),OR(N77="yes",N77="no",N77="unknown"),ISNUMBER(O77),OR(O77=0,O77=1),OR(P77="",P77="soft_yes",P77="forgot",P77="time_place",P77="clash",P77="travel",P77="personal",P77="unknown",P77="silent_but_came"),OR(I77&lt;&gt;"success",AND(J77&lt;&gt;"",COUNTIFS($J$2:$J$201,J77,$I$2:$I$201,"success")=1)),OR(I77&lt;&gt;"not_sent",J77=""),IF(F77="duplicate",AND(COUNTIFS($A$2:$A$201,G77,$B$2:$B$201,B77,$C$2:$C$201,C77,$F$2:$F$201,"include")=1,H77="no",I77="not_sent",K77="none",M77="no",N77="no",O77=0),AND(G77="",N77&lt;&gt;"unknown",COUNTIFS($B$2:$B$201,B77,$F$2:$F$201,"&lt;&gt;duplicate")=1)),IF(F77="include",AND(H77="yes",K77&lt;&gt;"conflict",K77&lt;&gt;"unknown",M77&lt;&gt;"unknown",IF(OR(K77="yes",K77="no"),AND(M77="yes",OR(L77="text",L77="emoji",L77="voice")),L77="none")),TRUE),IF(F77="late",AND(H77="no",I77="not_sent",K77="none",L77="none",O77=0),TRUE)),"OK","CHECK"),"CHECK"))</x:f>
      </x:c>
      <x:c r="R77" s="3"/>
    </x:row>
    <x:row r="78" ht="22" customHeight="1">
      <x:c r="A78" s="8"/>
      <x:c r="B78" s="8"/>
      <x:c r="C78" s="8"/>
      <x:c r="D78" s="8"/>
      <x:c r="E78" s="7"/>
      <x:c r="F78" s="7"/>
      <x:c r="G78" s="7"/>
      <x:c r="H78" s="7"/>
      <x:c r="I78" s="7"/>
      <x:c r="J78" s="8"/>
      <x:c r="K78" s="7"/>
      <x:c r="L78" s="7"/>
      <x:c r="M78" s="7"/>
      <x:c r="N78" s="7"/>
      <x:c r="O78" s="7"/>
      <x:c r="P78" s="7"/>
      <x:c r="Q78" s="3" t="str">
        <x:f>IF(COUNTA(A78:P78)=0,"",IFERROR(IF(AND(A78&lt;&gt;"",COUNTIF($A$2:$A$201,A78)=1,OR(LEFT(B78,2)="V-",LEFT(B78,4)="SYN-"),LEN(MID(B78,IF(LEFT(B78,2)="V-",3,5),30))&gt;0,ISNUMBER(VALUE(MID(B78,IF(LEFT(B78,2)="V-",3,5),30))),VALUE(MID(B78,IF(LEFT(B78,2)="V-",3,5),30))&gt;=0,MOD(VALUE(MID(B78,IF(LEFT(B78,2)="V-",3,5),30)),1)=0,COUNTIFS(Slots!$A$2:$A$31,"E1",Slots!$B$2:$B$31,C78)=1,ISNUMBER(SEARCH("|"&amp;D78&amp;"|","|"&amp;Settings!$B$9&amp;"|")),OR(E78="regular",E78="first"),OR(F78="include",F78="duplicate",F78="late"),OR(H78="yes",H78="no"),OR(I78="success",I78="failed",I78="unknown",I78="not_sent"),OR(K78="yes",K78="no",K78="none",K78="conflict",K78="unknown"),OR(L78="text",L78="emoji",L78="voice",L78="none",L78="unknown"),OR(M78="yes",M78="no",M78="unknown"),OR(N78="yes",N78="no",N78="unknown"),ISNUMBER(O78),OR(O78=0,O78=1),OR(P78="",P78="soft_yes",P78="forgot",P78="time_place",P78="clash",P78="travel",P78="personal",P78="unknown",P78="silent_but_came"),OR(I78&lt;&gt;"success",AND(J78&lt;&gt;"",COUNTIFS($J$2:$J$201,J78,$I$2:$I$201,"success")=1)),OR(I78&lt;&gt;"not_sent",J78=""),IF(F78="duplicate",AND(COUNTIFS($A$2:$A$201,G78,$B$2:$B$201,B78,$C$2:$C$201,C78,$F$2:$F$201,"include")=1,H78="no",I78="not_sent",K78="none",M78="no",N78="no",O78=0),AND(G78="",N78&lt;&gt;"unknown",COUNTIFS($B$2:$B$201,B78,$F$2:$F$201,"&lt;&gt;duplicate")=1)),IF(F78="include",AND(H78="yes",K78&lt;&gt;"conflict",K78&lt;&gt;"unknown",M78&lt;&gt;"unknown",IF(OR(K78="yes",K78="no"),AND(M78="yes",OR(L78="text",L78="emoji",L78="voice")),L78="none")),TRUE),IF(F78="late",AND(H78="no",I78="not_sent",K78="none",L78="none",O78=0),TRUE)),"OK","CHECK"),"CHECK"))</x:f>
      </x:c>
      <x:c r="R78" s="3"/>
    </x:row>
    <x:row r="79" ht="22" customHeight="1">
      <x:c r="A79" s="8"/>
      <x:c r="B79" s="8"/>
      <x:c r="C79" s="8"/>
      <x:c r="D79" s="8"/>
      <x:c r="E79" s="7"/>
      <x:c r="F79" s="7"/>
      <x:c r="G79" s="7"/>
      <x:c r="H79" s="7"/>
      <x:c r="I79" s="7"/>
      <x:c r="J79" s="8"/>
      <x:c r="K79" s="7"/>
      <x:c r="L79" s="7"/>
      <x:c r="M79" s="7"/>
      <x:c r="N79" s="7"/>
      <x:c r="O79" s="7"/>
      <x:c r="P79" s="7"/>
      <x:c r="Q79" s="3" t="str">
        <x:f>IF(COUNTA(A79:P79)=0,"",IFERROR(IF(AND(A79&lt;&gt;"",COUNTIF($A$2:$A$201,A79)=1,OR(LEFT(B79,2)="V-",LEFT(B79,4)="SYN-"),LEN(MID(B79,IF(LEFT(B79,2)="V-",3,5),30))&gt;0,ISNUMBER(VALUE(MID(B79,IF(LEFT(B79,2)="V-",3,5),30))),VALUE(MID(B79,IF(LEFT(B79,2)="V-",3,5),30))&gt;=0,MOD(VALUE(MID(B79,IF(LEFT(B79,2)="V-",3,5),30)),1)=0,COUNTIFS(Slots!$A$2:$A$31,"E1",Slots!$B$2:$B$31,C79)=1,ISNUMBER(SEARCH("|"&amp;D79&amp;"|","|"&amp;Settings!$B$9&amp;"|")),OR(E79="regular",E79="first"),OR(F79="include",F79="duplicate",F79="late"),OR(H79="yes",H79="no"),OR(I79="success",I79="failed",I79="unknown",I79="not_sent"),OR(K79="yes",K79="no",K79="none",K79="conflict",K79="unknown"),OR(L79="text",L79="emoji",L79="voice",L79="none",L79="unknown"),OR(M79="yes",M79="no",M79="unknown"),OR(N79="yes",N79="no",N79="unknown"),ISNUMBER(O79),OR(O79=0,O79=1),OR(P79="",P79="soft_yes",P79="forgot",P79="time_place",P79="clash",P79="travel",P79="personal",P79="unknown",P79="silent_but_came"),OR(I79&lt;&gt;"success",AND(J79&lt;&gt;"",COUNTIFS($J$2:$J$201,J79,$I$2:$I$201,"success")=1)),OR(I79&lt;&gt;"not_sent",J79=""),IF(F79="duplicate",AND(COUNTIFS($A$2:$A$201,G79,$B$2:$B$201,B79,$C$2:$C$201,C79,$F$2:$F$201,"include")=1,H79="no",I79="not_sent",K79="none",M79="no",N79="no",O79=0),AND(G79="",N79&lt;&gt;"unknown",COUNTIFS($B$2:$B$201,B79,$F$2:$F$201,"&lt;&gt;duplicate")=1)),IF(F79="include",AND(H79="yes",K79&lt;&gt;"conflict",K79&lt;&gt;"unknown",M79&lt;&gt;"unknown",IF(OR(K79="yes",K79="no"),AND(M79="yes",OR(L79="text",L79="emoji",L79="voice")),L79="none")),TRUE),IF(F79="late",AND(H79="no",I79="not_sent",K79="none",L79="none",O79=0),TRUE)),"OK","CHECK"),"CHECK"))</x:f>
      </x:c>
      <x:c r="R79" s="3"/>
    </x:row>
    <x:row r="80" ht="22" customHeight="1">
      <x:c r="A80" s="8"/>
      <x:c r="B80" s="8"/>
      <x:c r="C80" s="8"/>
      <x:c r="D80" s="8"/>
      <x:c r="E80" s="7"/>
      <x:c r="F80" s="7"/>
      <x:c r="G80" s="7"/>
      <x:c r="H80" s="7"/>
      <x:c r="I80" s="7"/>
      <x:c r="J80" s="8"/>
      <x:c r="K80" s="7"/>
      <x:c r="L80" s="7"/>
      <x:c r="M80" s="7"/>
      <x:c r="N80" s="7"/>
      <x:c r="O80" s="7"/>
      <x:c r="P80" s="7"/>
      <x:c r="Q80" s="3" t="str">
        <x:f>IF(COUNTA(A80:P80)=0,"",IFERROR(IF(AND(A80&lt;&gt;"",COUNTIF($A$2:$A$201,A80)=1,OR(LEFT(B80,2)="V-",LEFT(B80,4)="SYN-"),LEN(MID(B80,IF(LEFT(B80,2)="V-",3,5),30))&gt;0,ISNUMBER(VALUE(MID(B80,IF(LEFT(B80,2)="V-",3,5),30))),VALUE(MID(B80,IF(LEFT(B80,2)="V-",3,5),30))&gt;=0,MOD(VALUE(MID(B80,IF(LEFT(B80,2)="V-",3,5),30)),1)=0,COUNTIFS(Slots!$A$2:$A$31,"E1",Slots!$B$2:$B$31,C80)=1,ISNUMBER(SEARCH("|"&amp;D80&amp;"|","|"&amp;Settings!$B$9&amp;"|")),OR(E80="regular",E80="first"),OR(F80="include",F80="duplicate",F80="late"),OR(H80="yes",H80="no"),OR(I80="success",I80="failed",I80="unknown",I80="not_sent"),OR(K80="yes",K80="no",K80="none",K80="conflict",K80="unknown"),OR(L80="text",L80="emoji",L80="voice",L80="none",L80="unknown"),OR(M80="yes",M80="no",M80="unknown"),OR(N80="yes",N80="no",N80="unknown"),ISNUMBER(O80),OR(O80=0,O80=1),OR(P80="",P80="soft_yes",P80="forgot",P80="time_place",P80="clash",P80="travel",P80="personal",P80="unknown",P80="silent_but_came"),OR(I80&lt;&gt;"success",AND(J80&lt;&gt;"",COUNTIFS($J$2:$J$201,J80,$I$2:$I$201,"success")=1)),OR(I80&lt;&gt;"not_sent",J80=""),IF(F80="duplicate",AND(COUNTIFS($A$2:$A$201,G80,$B$2:$B$201,B80,$C$2:$C$201,C80,$F$2:$F$201,"include")=1,H80="no",I80="not_sent",K80="none",M80="no",N80="no",O80=0),AND(G80="",N80&lt;&gt;"unknown",COUNTIFS($B$2:$B$201,B80,$F$2:$F$201,"&lt;&gt;duplicate")=1)),IF(F80="include",AND(H80="yes",K80&lt;&gt;"conflict",K80&lt;&gt;"unknown",M80&lt;&gt;"unknown",IF(OR(K80="yes",K80="no"),AND(M80="yes",OR(L80="text",L80="emoji",L80="voice")),L80="none")),TRUE),IF(F80="late",AND(H80="no",I80="not_sent",K80="none",L80="none",O80=0),TRUE)),"OK","CHECK"),"CHECK"))</x:f>
      </x:c>
      <x:c r="R80" s="3"/>
    </x:row>
    <x:row r="81" ht="22" customHeight="1">
      <x:c r="A81" s="8"/>
      <x:c r="B81" s="8"/>
      <x:c r="C81" s="8"/>
      <x:c r="D81" s="8"/>
      <x:c r="E81" s="7"/>
      <x:c r="F81" s="7"/>
      <x:c r="G81" s="7"/>
      <x:c r="H81" s="7"/>
      <x:c r="I81" s="7"/>
      <x:c r="J81" s="8"/>
      <x:c r="K81" s="7"/>
      <x:c r="L81" s="7"/>
      <x:c r="M81" s="7"/>
      <x:c r="N81" s="7"/>
      <x:c r="O81" s="7"/>
      <x:c r="P81" s="7"/>
      <x:c r="Q81" s="3" t="str">
        <x:f>IF(COUNTA(A81:P81)=0,"",IFERROR(IF(AND(A81&lt;&gt;"",COUNTIF($A$2:$A$201,A81)=1,OR(LEFT(B81,2)="V-",LEFT(B81,4)="SYN-"),LEN(MID(B81,IF(LEFT(B81,2)="V-",3,5),30))&gt;0,ISNUMBER(VALUE(MID(B81,IF(LEFT(B81,2)="V-",3,5),30))),VALUE(MID(B81,IF(LEFT(B81,2)="V-",3,5),30))&gt;=0,MOD(VALUE(MID(B81,IF(LEFT(B81,2)="V-",3,5),30)),1)=0,COUNTIFS(Slots!$A$2:$A$31,"E1",Slots!$B$2:$B$31,C81)=1,ISNUMBER(SEARCH("|"&amp;D81&amp;"|","|"&amp;Settings!$B$9&amp;"|")),OR(E81="regular",E81="first"),OR(F81="include",F81="duplicate",F81="late"),OR(H81="yes",H81="no"),OR(I81="success",I81="failed",I81="unknown",I81="not_sent"),OR(K81="yes",K81="no",K81="none",K81="conflict",K81="unknown"),OR(L81="text",L81="emoji",L81="voice",L81="none",L81="unknown"),OR(M81="yes",M81="no",M81="unknown"),OR(N81="yes",N81="no",N81="unknown"),ISNUMBER(O81),OR(O81=0,O81=1),OR(P81="",P81="soft_yes",P81="forgot",P81="time_place",P81="clash",P81="travel",P81="personal",P81="unknown",P81="silent_but_came"),OR(I81&lt;&gt;"success",AND(J81&lt;&gt;"",COUNTIFS($J$2:$J$201,J81,$I$2:$I$201,"success")=1)),OR(I81&lt;&gt;"not_sent",J81=""),IF(F81="duplicate",AND(COUNTIFS($A$2:$A$201,G81,$B$2:$B$201,B81,$C$2:$C$201,C81,$F$2:$F$201,"include")=1,H81="no",I81="not_sent",K81="none",M81="no",N81="no",O81=0),AND(G81="",N81&lt;&gt;"unknown",COUNTIFS($B$2:$B$201,B81,$F$2:$F$201,"&lt;&gt;duplicate")=1)),IF(F81="include",AND(H81="yes",K81&lt;&gt;"conflict",K81&lt;&gt;"unknown",M81&lt;&gt;"unknown",IF(OR(K81="yes",K81="no"),AND(M81="yes",OR(L81="text",L81="emoji",L81="voice")),L81="none")),TRUE),IF(F81="late",AND(H81="no",I81="not_sent",K81="none",L81="none",O81=0),TRUE)),"OK","CHECK"),"CHECK"))</x:f>
      </x:c>
      <x:c r="R81" s="3"/>
    </x:row>
    <x:row r="82" ht="22" customHeight="1">
      <x:c r="A82" s="8"/>
      <x:c r="B82" s="8"/>
      <x:c r="C82" s="8"/>
      <x:c r="D82" s="8"/>
      <x:c r="E82" s="7"/>
      <x:c r="F82" s="7"/>
      <x:c r="G82" s="7"/>
      <x:c r="H82" s="7"/>
      <x:c r="I82" s="7"/>
      <x:c r="J82" s="8"/>
      <x:c r="K82" s="7"/>
      <x:c r="L82" s="7"/>
      <x:c r="M82" s="7"/>
      <x:c r="N82" s="7"/>
      <x:c r="O82" s="7"/>
      <x:c r="P82" s="7"/>
      <x:c r="Q82" s="3" t="str">
        <x:f>IF(COUNTA(A82:P82)=0,"",IFERROR(IF(AND(A82&lt;&gt;"",COUNTIF($A$2:$A$201,A82)=1,OR(LEFT(B82,2)="V-",LEFT(B82,4)="SYN-"),LEN(MID(B82,IF(LEFT(B82,2)="V-",3,5),30))&gt;0,ISNUMBER(VALUE(MID(B82,IF(LEFT(B82,2)="V-",3,5),30))),VALUE(MID(B82,IF(LEFT(B82,2)="V-",3,5),30))&gt;=0,MOD(VALUE(MID(B82,IF(LEFT(B82,2)="V-",3,5),30)),1)=0,COUNTIFS(Slots!$A$2:$A$31,"E1",Slots!$B$2:$B$31,C82)=1,ISNUMBER(SEARCH("|"&amp;D82&amp;"|","|"&amp;Settings!$B$9&amp;"|")),OR(E82="regular",E82="first"),OR(F82="include",F82="duplicate",F82="late"),OR(H82="yes",H82="no"),OR(I82="success",I82="failed",I82="unknown",I82="not_sent"),OR(K82="yes",K82="no",K82="none",K82="conflict",K82="unknown"),OR(L82="text",L82="emoji",L82="voice",L82="none",L82="unknown"),OR(M82="yes",M82="no",M82="unknown"),OR(N82="yes",N82="no",N82="unknown"),ISNUMBER(O82),OR(O82=0,O82=1),OR(P82="",P82="soft_yes",P82="forgot",P82="time_place",P82="clash",P82="travel",P82="personal",P82="unknown",P82="silent_but_came"),OR(I82&lt;&gt;"success",AND(J82&lt;&gt;"",COUNTIFS($J$2:$J$201,J82,$I$2:$I$201,"success")=1)),OR(I82&lt;&gt;"not_sent",J82=""),IF(F82="duplicate",AND(COUNTIFS($A$2:$A$201,G82,$B$2:$B$201,B82,$C$2:$C$201,C82,$F$2:$F$201,"include")=1,H82="no",I82="not_sent",K82="none",M82="no",N82="no",O82=0),AND(G82="",N82&lt;&gt;"unknown",COUNTIFS($B$2:$B$201,B82,$F$2:$F$201,"&lt;&gt;duplicate")=1)),IF(F82="include",AND(H82="yes",K82&lt;&gt;"conflict",K82&lt;&gt;"unknown",M82&lt;&gt;"unknown",IF(OR(K82="yes",K82="no"),AND(M82="yes",OR(L82="text",L82="emoji",L82="voice")),L82="none")),TRUE),IF(F82="late",AND(H82="no",I82="not_sent",K82="none",L82="none",O82=0),TRUE)),"OK","CHECK"),"CHECK"))</x:f>
      </x:c>
      <x:c r="R82" s="3"/>
    </x:row>
    <x:row r="83" ht="22" customHeight="1">
      <x:c r="A83" s="8"/>
      <x:c r="B83" s="8"/>
      <x:c r="C83" s="8"/>
      <x:c r="D83" s="8"/>
      <x:c r="E83" s="7"/>
      <x:c r="F83" s="7"/>
      <x:c r="G83" s="7"/>
      <x:c r="H83" s="7"/>
      <x:c r="I83" s="7"/>
      <x:c r="J83" s="8"/>
      <x:c r="K83" s="7"/>
      <x:c r="L83" s="7"/>
      <x:c r="M83" s="7"/>
      <x:c r="N83" s="7"/>
      <x:c r="O83" s="7"/>
      <x:c r="P83" s="7"/>
      <x:c r="Q83" s="3" t="str">
        <x:f>IF(COUNTA(A83:P83)=0,"",IFERROR(IF(AND(A83&lt;&gt;"",COUNTIF($A$2:$A$201,A83)=1,OR(LEFT(B83,2)="V-",LEFT(B83,4)="SYN-"),LEN(MID(B83,IF(LEFT(B83,2)="V-",3,5),30))&gt;0,ISNUMBER(VALUE(MID(B83,IF(LEFT(B83,2)="V-",3,5),30))),VALUE(MID(B83,IF(LEFT(B83,2)="V-",3,5),30))&gt;=0,MOD(VALUE(MID(B83,IF(LEFT(B83,2)="V-",3,5),30)),1)=0,COUNTIFS(Slots!$A$2:$A$31,"E1",Slots!$B$2:$B$31,C83)=1,ISNUMBER(SEARCH("|"&amp;D83&amp;"|","|"&amp;Settings!$B$9&amp;"|")),OR(E83="regular",E83="first"),OR(F83="include",F83="duplicate",F83="late"),OR(H83="yes",H83="no"),OR(I83="success",I83="failed",I83="unknown",I83="not_sent"),OR(K83="yes",K83="no",K83="none",K83="conflict",K83="unknown"),OR(L83="text",L83="emoji",L83="voice",L83="none",L83="unknown"),OR(M83="yes",M83="no",M83="unknown"),OR(N83="yes",N83="no",N83="unknown"),ISNUMBER(O83),OR(O83=0,O83=1),OR(P83="",P83="soft_yes",P83="forgot",P83="time_place",P83="clash",P83="travel",P83="personal",P83="unknown",P83="silent_but_came"),OR(I83&lt;&gt;"success",AND(J83&lt;&gt;"",COUNTIFS($J$2:$J$201,J83,$I$2:$I$201,"success")=1)),OR(I83&lt;&gt;"not_sent",J83=""),IF(F83="duplicate",AND(COUNTIFS($A$2:$A$201,G83,$B$2:$B$201,B83,$C$2:$C$201,C83,$F$2:$F$201,"include")=1,H83="no",I83="not_sent",K83="none",M83="no",N83="no",O83=0),AND(G83="",N83&lt;&gt;"unknown",COUNTIFS($B$2:$B$201,B83,$F$2:$F$201,"&lt;&gt;duplicate")=1)),IF(F83="include",AND(H83="yes",K83&lt;&gt;"conflict",K83&lt;&gt;"unknown",M83&lt;&gt;"unknown",IF(OR(K83="yes",K83="no"),AND(M83="yes",OR(L83="text",L83="emoji",L83="voice")),L83="none")),TRUE),IF(F83="late",AND(H83="no",I83="not_sent",K83="none",L83="none",O83=0),TRUE)),"OK","CHECK"),"CHECK"))</x:f>
      </x:c>
      <x:c r="R83" s="3"/>
    </x:row>
    <x:row r="84" ht="22" customHeight="1">
      <x:c r="A84" s="8"/>
      <x:c r="B84" s="8"/>
      <x:c r="C84" s="8"/>
      <x:c r="D84" s="8"/>
      <x:c r="E84" s="7"/>
      <x:c r="F84" s="7"/>
      <x:c r="G84" s="7"/>
      <x:c r="H84" s="7"/>
      <x:c r="I84" s="7"/>
      <x:c r="J84" s="8"/>
      <x:c r="K84" s="7"/>
      <x:c r="L84" s="7"/>
      <x:c r="M84" s="7"/>
      <x:c r="N84" s="7"/>
      <x:c r="O84" s="7"/>
      <x:c r="P84" s="7"/>
      <x:c r="Q84" s="3" t="str">
        <x:f>IF(COUNTA(A84:P84)=0,"",IFERROR(IF(AND(A84&lt;&gt;"",COUNTIF($A$2:$A$201,A84)=1,OR(LEFT(B84,2)="V-",LEFT(B84,4)="SYN-"),LEN(MID(B84,IF(LEFT(B84,2)="V-",3,5),30))&gt;0,ISNUMBER(VALUE(MID(B84,IF(LEFT(B84,2)="V-",3,5),30))),VALUE(MID(B84,IF(LEFT(B84,2)="V-",3,5),30))&gt;=0,MOD(VALUE(MID(B84,IF(LEFT(B84,2)="V-",3,5),30)),1)=0,COUNTIFS(Slots!$A$2:$A$31,"E1",Slots!$B$2:$B$31,C84)=1,ISNUMBER(SEARCH("|"&amp;D84&amp;"|","|"&amp;Settings!$B$9&amp;"|")),OR(E84="regular",E84="first"),OR(F84="include",F84="duplicate",F84="late"),OR(H84="yes",H84="no"),OR(I84="success",I84="failed",I84="unknown",I84="not_sent"),OR(K84="yes",K84="no",K84="none",K84="conflict",K84="unknown"),OR(L84="text",L84="emoji",L84="voice",L84="none",L84="unknown"),OR(M84="yes",M84="no",M84="unknown"),OR(N84="yes",N84="no",N84="unknown"),ISNUMBER(O84),OR(O84=0,O84=1),OR(P84="",P84="soft_yes",P84="forgot",P84="time_place",P84="clash",P84="travel",P84="personal",P84="unknown",P84="silent_but_came"),OR(I84&lt;&gt;"success",AND(J84&lt;&gt;"",COUNTIFS($J$2:$J$201,J84,$I$2:$I$201,"success")=1)),OR(I84&lt;&gt;"not_sent",J84=""),IF(F84="duplicate",AND(COUNTIFS($A$2:$A$201,G84,$B$2:$B$201,B84,$C$2:$C$201,C84,$F$2:$F$201,"include")=1,H84="no",I84="not_sent",K84="none",M84="no",N84="no",O84=0),AND(G84="",N84&lt;&gt;"unknown",COUNTIFS($B$2:$B$201,B84,$F$2:$F$201,"&lt;&gt;duplicate")=1)),IF(F84="include",AND(H84="yes",K84&lt;&gt;"conflict",K84&lt;&gt;"unknown",M84&lt;&gt;"unknown",IF(OR(K84="yes",K84="no"),AND(M84="yes",OR(L84="text",L84="emoji",L84="voice")),L84="none")),TRUE),IF(F84="late",AND(H84="no",I84="not_sent",K84="none",L84="none",O84=0),TRUE)),"OK","CHECK"),"CHECK"))</x:f>
      </x:c>
      <x:c r="R84" s="3"/>
    </x:row>
    <x:row r="85" ht="22" customHeight="1">
      <x:c r="A85" s="8"/>
      <x:c r="B85" s="8"/>
      <x:c r="C85" s="8"/>
      <x:c r="D85" s="8"/>
      <x:c r="E85" s="7"/>
      <x:c r="F85" s="7"/>
      <x:c r="G85" s="7"/>
      <x:c r="H85" s="7"/>
      <x:c r="I85" s="7"/>
      <x:c r="J85" s="8"/>
      <x:c r="K85" s="7"/>
      <x:c r="L85" s="7"/>
      <x:c r="M85" s="7"/>
      <x:c r="N85" s="7"/>
      <x:c r="O85" s="7"/>
      <x:c r="P85" s="7"/>
      <x:c r="Q85" s="3" t="str">
        <x:f>IF(COUNTA(A85:P85)=0,"",IFERROR(IF(AND(A85&lt;&gt;"",COUNTIF($A$2:$A$201,A85)=1,OR(LEFT(B85,2)="V-",LEFT(B85,4)="SYN-"),LEN(MID(B85,IF(LEFT(B85,2)="V-",3,5),30))&gt;0,ISNUMBER(VALUE(MID(B85,IF(LEFT(B85,2)="V-",3,5),30))),VALUE(MID(B85,IF(LEFT(B85,2)="V-",3,5),30))&gt;=0,MOD(VALUE(MID(B85,IF(LEFT(B85,2)="V-",3,5),30)),1)=0,COUNTIFS(Slots!$A$2:$A$31,"E1",Slots!$B$2:$B$31,C85)=1,ISNUMBER(SEARCH("|"&amp;D85&amp;"|","|"&amp;Settings!$B$9&amp;"|")),OR(E85="regular",E85="first"),OR(F85="include",F85="duplicate",F85="late"),OR(H85="yes",H85="no"),OR(I85="success",I85="failed",I85="unknown",I85="not_sent"),OR(K85="yes",K85="no",K85="none",K85="conflict",K85="unknown"),OR(L85="text",L85="emoji",L85="voice",L85="none",L85="unknown"),OR(M85="yes",M85="no",M85="unknown"),OR(N85="yes",N85="no",N85="unknown"),ISNUMBER(O85),OR(O85=0,O85=1),OR(P85="",P85="soft_yes",P85="forgot",P85="time_place",P85="clash",P85="travel",P85="personal",P85="unknown",P85="silent_but_came"),OR(I85&lt;&gt;"success",AND(J85&lt;&gt;"",COUNTIFS($J$2:$J$201,J85,$I$2:$I$201,"success")=1)),OR(I85&lt;&gt;"not_sent",J85=""),IF(F85="duplicate",AND(COUNTIFS($A$2:$A$201,G85,$B$2:$B$201,B85,$C$2:$C$201,C85,$F$2:$F$201,"include")=1,H85="no",I85="not_sent",K85="none",M85="no",N85="no",O85=0),AND(G85="",N85&lt;&gt;"unknown",COUNTIFS($B$2:$B$201,B85,$F$2:$F$201,"&lt;&gt;duplicate")=1)),IF(F85="include",AND(H85="yes",K85&lt;&gt;"conflict",K85&lt;&gt;"unknown",M85&lt;&gt;"unknown",IF(OR(K85="yes",K85="no"),AND(M85="yes",OR(L85="text",L85="emoji",L85="voice")),L85="none")),TRUE),IF(F85="late",AND(H85="no",I85="not_sent",K85="none",L85="none",O85=0),TRUE)),"OK","CHECK"),"CHECK"))</x:f>
      </x:c>
      <x:c r="R85" s="3"/>
    </x:row>
    <x:row r="86" ht="22" customHeight="1">
      <x:c r="A86" s="8"/>
      <x:c r="B86" s="8"/>
      <x:c r="C86" s="8"/>
      <x:c r="D86" s="8"/>
      <x:c r="E86" s="7"/>
      <x:c r="F86" s="7"/>
      <x:c r="G86" s="7"/>
      <x:c r="H86" s="7"/>
      <x:c r="I86" s="7"/>
      <x:c r="J86" s="8"/>
      <x:c r="K86" s="7"/>
      <x:c r="L86" s="7"/>
      <x:c r="M86" s="7"/>
      <x:c r="N86" s="7"/>
      <x:c r="O86" s="7"/>
      <x:c r="P86" s="7"/>
      <x:c r="Q86" s="3" t="str">
        <x:f>IF(COUNTA(A86:P86)=0,"",IFERROR(IF(AND(A86&lt;&gt;"",COUNTIF($A$2:$A$201,A86)=1,OR(LEFT(B86,2)="V-",LEFT(B86,4)="SYN-"),LEN(MID(B86,IF(LEFT(B86,2)="V-",3,5),30))&gt;0,ISNUMBER(VALUE(MID(B86,IF(LEFT(B86,2)="V-",3,5),30))),VALUE(MID(B86,IF(LEFT(B86,2)="V-",3,5),30))&gt;=0,MOD(VALUE(MID(B86,IF(LEFT(B86,2)="V-",3,5),30)),1)=0,COUNTIFS(Slots!$A$2:$A$31,"E1",Slots!$B$2:$B$31,C86)=1,ISNUMBER(SEARCH("|"&amp;D86&amp;"|","|"&amp;Settings!$B$9&amp;"|")),OR(E86="regular",E86="first"),OR(F86="include",F86="duplicate",F86="late"),OR(H86="yes",H86="no"),OR(I86="success",I86="failed",I86="unknown",I86="not_sent"),OR(K86="yes",K86="no",K86="none",K86="conflict",K86="unknown"),OR(L86="text",L86="emoji",L86="voice",L86="none",L86="unknown"),OR(M86="yes",M86="no",M86="unknown"),OR(N86="yes",N86="no",N86="unknown"),ISNUMBER(O86),OR(O86=0,O86=1),OR(P86="",P86="soft_yes",P86="forgot",P86="time_place",P86="clash",P86="travel",P86="personal",P86="unknown",P86="silent_but_came"),OR(I86&lt;&gt;"success",AND(J86&lt;&gt;"",COUNTIFS($J$2:$J$201,J86,$I$2:$I$201,"success")=1)),OR(I86&lt;&gt;"not_sent",J86=""),IF(F86="duplicate",AND(COUNTIFS($A$2:$A$201,G86,$B$2:$B$201,B86,$C$2:$C$201,C86,$F$2:$F$201,"include")=1,H86="no",I86="not_sent",K86="none",M86="no",N86="no",O86=0),AND(G86="",N86&lt;&gt;"unknown",COUNTIFS($B$2:$B$201,B86,$F$2:$F$201,"&lt;&gt;duplicate")=1)),IF(F86="include",AND(H86="yes",K86&lt;&gt;"conflict",K86&lt;&gt;"unknown",M86&lt;&gt;"unknown",IF(OR(K86="yes",K86="no"),AND(M86="yes",OR(L86="text",L86="emoji",L86="voice")),L86="none")),TRUE),IF(F86="late",AND(H86="no",I86="not_sent",K86="none",L86="none",O86=0),TRUE)),"OK","CHECK"),"CHECK"))</x:f>
      </x:c>
      <x:c r="R86" s="3"/>
    </x:row>
    <x:row r="87" ht="22" customHeight="1">
      <x:c r="A87" s="8"/>
      <x:c r="B87" s="8"/>
      <x:c r="C87" s="8"/>
      <x:c r="D87" s="8"/>
      <x:c r="E87" s="7"/>
      <x:c r="F87" s="7"/>
      <x:c r="G87" s="7"/>
      <x:c r="H87" s="7"/>
      <x:c r="I87" s="7"/>
      <x:c r="J87" s="8"/>
      <x:c r="K87" s="7"/>
      <x:c r="L87" s="7"/>
      <x:c r="M87" s="7"/>
      <x:c r="N87" s="7"/>
      <x:c r="O87" s="7"/>
      <x:c r="P87" s="7"/>
      <x:c r="Q87" s="3" t="str">
        <x:f>IF(COUNTA(A87:P87)=0,"",IFERROR(IF(AND(A87&lt;&gt;"",COUNTIF($A$2:$A$201,A87)=1,OR(LEFT(B87,2)="V-",LEFT(B87,4)="SYN-"),LEN(MID(B87,IF(LEFT(B87,2)="V-",3,5),30))&gt;0,ISNUMBER(VALUE(MID(B87,IF(LEFT(B87,2)="V-",3,5),30))),VALUE(MID(B87,IF(LEFT(B87,2)="V-",3,5),30))&gt;=0,MOD(VALUE(MID(B87,IF(LEFT(B87,2)="V-",3,5),30)),1)=0,COUNTIFS(Slots!$A$2:$A$31,"E1",Slots!$B$2:$B$31,C87)=1,ISNUMBER(SEARCH("|"&amp;D87&amp;"|","|"&amp;Settings!$B$9&amp;"|")),OR(E87="regular",E87="first"),OR(F87="include",F87="duplicate",F87="late"),OR(H87="yes",H87="no"),OR(I87="success",I87="failed",I87="unknown",I87="not_sent"),OR(K87="yes",K87="no",K87="none",K87="conflict",K87="unknown"),OR(L87="text",L87="emoji",L87="voice",L87="none",L87="unknown"),OR(M87="yes",M87="no",M87="unknown"),OR(N87="yes",N87="no",N87="unknown"),ISNUMBER(O87),OR(O87=0,O87=1),OR(P87="",P87="soft_yes",P87="forgot",P87="time_place",P87="clash",P87="travel",P87="personal",P87="unknown",P87="silent_but_came"),OR(I87&lt;&gt;"success",AND(J87&lt;&gt;"",COUNTIFS($J$2:$J$201,J87,$I$2:$I$201,"success")=1)),OR(I87&lt;&gt;"not_sent",J87=""),IF(F87="duplicate",AND(COUNTIFS($A$2:$A$201,G87,$B$2:$B$201,B87,$C$2:$C$201,C87,$F$2:$F$201,"include")=1,H87="no",I87="not_sent",K87="none",M87="no",N87="no",O87=0),AND(G87="",N87&lt;&gt;"unknown",COUNTIFS($B$2:$B$201,B87,$F$2:$F$201,"&lt;&gt;duplicate")=1)),IF(F87="include",AND(H87="yes",K87&lt;&gt;"conflict",K87&lt;&gt;"unknown",M87&lt;&gt;"unknown",IF(OR(K87="yes",K87="no"),AND(M87="yes",OR(L87="text",L87="emoji",L87="voice")),L87="none")),TRUE),IF(F87="late",AND(H87="no",I87="not_sent",K87="none",L87="none",O87=0),TRUE)),"OK","CHECK"),"CHECK"))</x:f>
      </x:c>
      <x:c r="R87" s="3"/>
    </x:row>
    <x:row r="88" ht="22" customHeight="1">
      <x:c r="A88" s="8"/>
      <x:c r="B88" s="8"/>
      <x:c r="C88" s="8"/>
      <x:c r="D88" s="8"/>
      <x:c r="E88" s="7"/>
      <x:c r="F88" s="7"/>
      <x:c r="G88" s="7"/>
      <x:c r="H88" s="7"/>
      <x:c r="I88" s="7"/>
      <x:c r="J88" s="8"/>
      <x:c r="K88" s="7"/>
      <x:c r="L88" s="7"/>
      <x:c r="M88" s="7"/>
      <x:c r="N88" s="7"/>
      <x:c r="O88" s="7"/>
      <x:c r="P88" s="7"/>
      <x:c r="Q88" s="3" t="str">
        <x:f>IF(COUNTA(A88:P88)=0,"",IFERROR(IF(AND(A88&lt;&gt;"",COUNTIF($A$2:$A$201,A88)=1,OR(LEFT(B88,2)="V-",LEFT(B88,4)="SYN-"),LEN(MID(B88,IF(LEFT(B88,2)="V-",3,5),30))&gt;0,ISNUMBER(VALUE(MID(B88,IF(LEFT(B88,2)="V-",3,5),30))),VALUE(MID(B88,IF(LEFT(B88,2)="V-",3,5),30))&gt;=0,MOD(VALUE(MID(B88,IF(LEFT(B88,2)="V-",3,5),30)),1)=0,COUNTIFS(Slots!$A$2:$A$31,"E1",Slots!$B$2:$B$31,C88)=1,ISNUMBER(SEARCH("|"&amp;D88&amp;"|","|"&amp;Settings!$B$9&amp;"|")),OR(E88="regular",E88="first"),OR(F88="include",F88="duplicate",F88="late"),OR(H88="yes",H88="no"),OR(I88="success",I88="failed",I88="unknown",I88="not_sent"),OR(K88="yes",K88="no",K88="none",K88="conflict",K88="unknown"),OR(L88="text",L88="emoji",L88="voice",L88="none",L88="unknown"),OR(M88="yes",M88="no",M88="unknown"),OR(N88="yes",N88="no",N88="unknown"),ISNUMBER(O88),OR(O88=0,O88=1),OR(P88="",P88="soft_yes",P88="forgot",P88="time_place",P88="clash",P88="travel",P88="personal",P88="unknown",P88="silent_but_came"),OR(I88&lt;&gt;"success",AND(J88&lt;&gt;"",COUNTIFS($J$2:$J$201,J88,$I$2:$I$201,"success")=1)),OR(I88&lt;&gt;"not_sent",J88=""),IF(F88="duplicate",AND(COUNTIFS($A$2:$A$201,G88,$B$2:$B$201,B88,$C$2:$C$201,C88,$F$2:$F$201,"include")=1,H88="no",I88="not_sent",K88="none",M88="no",N88="no",O88=0),AND(G88="",N88&lt;&gt;"unknown",COUNTIFS($B$2:$B$201,B88,$F$2:$F$201,"&lt;&gt;duplicate")=1)),IF(F88="include",AND(H88="yes",K88&lt;&gt;"conflict",K88&lt;&gt;"unknown",M88&lt;&gt;"unknown",IF(OR(K88="yes",K88="no"),AND(M88="yes",OR(L88="text",L88="emoji",L88="voice")),L88="none")),TRUE),IF(F88="late",AND(H88="no",I88="not_sent",K88="none",L88="none",O88=0),TRUE)),"OK","CHECK"),"CHECK"))</x:f>
      </x:c>
      <x:c r="R88" s="3"/>
    </x:row>
    <x:row r="89" ht="22" customHeight="1">
      <x:c r="A89" s="8"/>
      <x:c r="B89" s="8"/>
      <x:c r="C89" s="8"/>
      <x:c r="D89" s="8"/>
      <x:c r="E89" s="7"/>
      <x:c r="F89" s="7"/>
      <x:c r="G89" s="7"/>
      <x:c r="H89" s="7"/>
      <x:c r="I89" s="7"/>
      <x:c r="J89" s="8"/>
      <x:c r="K89" s="7"/>
      <x:c r="L89" s="7"/>
      <x:c r="M89" s="7"/>
      <x:c r="N89" s="7"/>
      <x:c r="O89" s="7"/>
      <x:c r="P89" s="7"/>
      <x:c r="Q89" s="3" t="str">
        <x:f>IF(COUNTA(A89:P89)=0,"",IFERROR(IF(AND(A89&lt;&gt;"",COUNTIF($A$2:$A$201,A89)=1,OR(LEFT(B89,2)="V-",LEFT(B89,4)="SYN-"),LEN(MID(B89,IF(LEFT(B89,2)="V-",3,5),30))&gt;0,ISNUMBER(VALUE(MID(B89,IF(LEFT(B89,2)="V-",3,5),30))),VALUE(MID(B89,IF(LEFT(B89,2)="V-",3,5),30))&gt;=0,MOD(VALUE(MID(B89,IF(LEFT(B89,2)="V-",3,5),30)),1)=0,COUNTIFS(Slots!$A$2:$A$31,"E1",Slots!$B$2:$B$31,C89)=1,ISNUMBER(SEARCH("|"&amp;D89&amp;"|","|"&amp;Settings!$B$9&amp;"|")),OR(E89="regular",E89="first"),OR(F89="include",F89="duplicate",F89="late"),OR(H89="yes",H89="no"),OR(I89="success",I89="failed",I89="unknown",I89="not_sent"),OR(K89="yes",K89="no",K89="none",K89="conflict",K89="unknown"),OR(L89="text",L89="emoji",L89="voice",L89="none",L89="unknown"),OR(M89="yes",M89="no",M89="unknown"),OR(N89="yes",N89="no",N89="unknown"),ISNUMBER(O89),OR(O89=0,O89=1),OR(P89="",P89="soft_yes",P89="forgot",P89="time_place",P89="clash",P89="travel",P89="personal",P89="unknown",P89="silent_but_came"),OR(I89&lt;&gt;"success",AND(J89&lt;&gt;"",COUNTIFS($J$2:$J$201,J89,$I$2:$I$201,"success")=1)),OR(I89&lt;&gt;"not_sent",J89=""),IF(F89="duplicate",AND(COUNTIFS($A$2:$A$201,G89,$B$2:$B$201,B89,$C$2:$C$201,C89,$F$2:$F$201,"include")=1,H89="no",I89="not_sent",K89="none",M89="no",N89="no",O89=0),AND(G89="",N89&lt;&gt;"unknown",COUNTIFS($B$2:$B$201,B89,$F$2:$F$201,"&lt;&gt;duplicate")=1)),IF(F89="include",AND(H89="yes",K89&lt;&gt;"conflict",K89&lt;&gt;"unknown",M89&lt;&gt;"unknown",IF(OR(K89="yes",K89="no"),AND(M89="yes",OR(L89="text",L89="emoji",L89="voice")),L89="none")),TRUE),IF(F89="late",AND(H89="no",I89="not_sent",K89="none",L89="none",O89=0),TRUE)),"OK","CHECK"),"CHECK"))</x:f>
      </x:c>
      <x:c r="R89" s="3"/>
    </x:row>
    <x:row r="90" ht="22" customHeight="1">
      <x:c r="A90" s="8"/>
      <x:c r="B90" s="8"/>
      <x:c r="C90" s="8"/>
      <x:c r="D90" s="8"/>
      <x:c r="E90" s="7"/>
      <x:c r="F90" s="7"/>
      <x:c r="G90" s="7"/>
      <x:c r="H90" s="7"/>
      <x:c r="I90" s="7"/>
      <x:c r="J90" s="8"/>
      <x:c r="K90" s="7"/>
      <x:c r="L90" s="7"/>
      <x:c r="M90" s="7"/>
      <x:c r="N90" s="7"/>
      <x:c r="O90" s="7"/>
      <x:c r="P90" s="7"/>
      <x:c r="Q90" s="3" t="str">
        <x:f>IF(COUNTA(A90:P90)=0,"",IFERROR(IF(AND(A90&lt;&gt;"",COUNTIF($A$2:$A$201,A90)=1,OR(LEFT(B90,2)="V-",LEFT(B90,4)="SYN-"),LEN(MID(B90,IF(LEFT(B90,2)="V-",3,5),30))&gt;0,ISNUMBER(VALUE(MID(B90,IF(LEFT(B90,2)="V-",3,5),30))),VALUE(MID(B90,IF(LEFT(B90,2)="V-",3,5),30))&gt;=0,MOD(VALUE(MID(B90,IF(LEFT(B90,2)="V-",3,5),30)),1)=0,COUNTIFS(Slots!$A$2:$A$31,"E1",Slots!$B$2:$B$31,C90)=1,ISNUMBER(SEARCH("|"&amp;D90&amp;"|","|"&amp;Settings!$B$9&amp;"|")),OR(E90="regular",E90="first"),OR(F90="include",F90="duplicate",F90="late"),OR(H90="yes",H90="no"),OR(I90="success",I90="failed",I90="unknown",I90="not_sent"),OR(K90="yes",K90="no",K90="none",K90="conflict",K90="unknown"),OR(L90="text",L90="emoji",L90="voice",L90="none",L90="unknown"),OR(M90="yes",M90="no",M90="unknown"),OR(N90="yes",N90="no",N90="unknown"),ISNUMBER(O90),OR(O90=0,O90=1),OR(P90="",P90="soft_yes",P90="forgot",P90="time_place",P90="clash",P90="travel",P90="personal",P90="unknown",P90="silent_but_came"),OR(I90&lt;&gt;"success",AND(J90&lt;&gt;"",COUNTIFS($J$2:$J$201,J90,$I$2:$I$201,"success")=1)),OR(I90&lt;&gt;"not_sent",J90=""),IF(F90="duplicate",AND(COUNTIFS($A$2:$A$201,G90,$B$2:$B$201,B90,$C$2:$C$201,C90,$F$2:$F$201,"include")=1,H90="no",I90="not_sent",K90="none",M90="no",N90="no",O90=0),AND(G90="",N90&lt;&gt;"unknown",COUNTIFS($B$2:$B$201,B90,$F$2:$F$201,"&lt;&gt;duplicate")=1)),IF(F90="include",AND(H90="yes",K90&lt;&gt;"conflict",K90&lt;&gt;"unknown",M90&lt;&gt;"unknown",IF(OR(K90="yes",K90="no"),AND(M90="yes",OR(L90="text",L90="emoji",L90="voice")),L90="none")),TRUE),IF(F90="late",AND(H90="no",I90="not_sent",K90="none",L90="none",O90=0),TRUE)),"OK","CHECK"),"CHECK"))</x:f>
      </x:c>
      <x:c r="R90" s="3"/>
    </x:row>
    <x:row r="91" ht="22" customHeight="1">
      <x:c r="A91" s="8"/>
      <x:c r="B91" s="8"/>
      <x:c r="C91" s="8"/>
      <x:c r="D91" s="8"/>
      <x:c r="E91" s="7"/>
      <x:c r="F91" s="7"/>
      <x:c r="G91" s="7"/>
      <x:c r="H91" s="7"/>
      <x:c r="I91" s="7"/>
      <x:c r="J91" s="8"/>
      <x:c r="K91" s="7"/>
      <x:c r="L91" s="7"/>
      <x:c r="M91" s="7"/>
      <x:c r="N91" s="7"/>
      <x:c r="O91" s="7"/>
      <x:c r="P91" s="7"/>
      <x:c r="Q91" s="3" t="str">
        <x:f>IF(COUNTA(A91:P91)=0,"",IFERROR(IF(AND(A91&lt;&gt;"",COUNTIF($A$2:$A$201,A91)=1,OR(LEFT(B91,2)="V-",LEFT(B91,4)="SYN-"),LEN(MID(B91,IF(LEFT(B91,2)="V-",3,5),30))&gt;0,ISNUMBER(VALUE(MID(B91,IF(LEFT(B91,2)="V-",3,5),30))),VALUE(MID(B91,IF(LEFT(B91,2)="V-",3,5),30))&gt;=0,MOD(VALUE(MID(B91,IF(LEFT(B91,2)="V-",3,5),30)),1)=0,COUNTIFS(Slots!$A$2:$A$31,"E1",Slots!$B$2:$B$31,C91)=1,ISNUMBER(SEARCH("|"&amp;D91&amp;"|","|"&amp;Settings!$B$9&amp;"|")),OR(E91="regular",E91="first"),OR(F91="include",F91="duplicate",F91="late"),OR(H91="yes",H91="no"),OR(I91="success",I91="failed",I91="unknown",I91="not_sent"),OR(K91="yes",K91="no",K91="none",K91="conflict",K91="unknown"),OR(L91="text",L91="emoji",L91="voice",L91="none",L91="unknown"),OR(M91="yes",M91="no",M91="unknown"),OR(N91="yes",N91="no",N91="unknown"),ISNUMBER(O91),OR(O91=0,O91=1),OR(P91="",P91="soft_yes",P91="forgot",P91="time_place",P91="clash",P91="travel",P91="personal",P91="unknown",P91="silent_but_came"),OR(I91&lt;&gt;"success",AND(J91&lt;&gt;"",COUNTIFS($J$2:$J$201,J91,$I$2:$I$201,"success")=1)),OR(I91&lt;&gt;"not_sent",J91=""),IF(F91="duplicate",AND(COUNTIFS($A$2:$A$201,G91,$B$2:$B$201,B91,$C$2:$C$201,C91,$F$2:$F$201,"include")=1,H91="no",I91="not_sent",K91="none",M91="no",N91="no",O91=0),AND(G91="",N91&lt;&gt;"unknown",COUNTIFS($B$2:$B$201,B91,$F$2:$F$201,"&lt;&gt;duplicate")=1)),IF(F91="include",AND(H91="yes",K91&lt;&gt;"conflict",K91&lt;&gt;"unknown",M91&lt;&gt;"unknown",IF(OR(K91="yes",K91="no"),AND(M91="yes",OR(L91="text",L91="emoji",L91="voice")),L91="none")),TRUE),IF(F91="late",AND(H91="no",I91="not_sent",K91="none",L91="none",O91=0),TRUE)),"OK","CHECK"),"CHECK"))</x:f>
      </x:c>
      <x:c r="R91" s="3"/>
    </x:row>
    <x:row r="92" ht="22" customHeight="1">
      <x:c r="A92" s="8"/>
      <x:c r="B92" s="8"/>
      <x:c r="C92" s="8"/>
      <x:c r="D92" s="8"/>
      <x:c r="E92" s="7"/>
      <x:c r="F92" s="7"/>
      <x:c r="G92" s="7"/>
      <x:c r="H92" s="7"/>
      <x:c r="I92" s="7"/>
      <x:c r="J92" s="8"/>
      <x:c r="K92" s="7"/>
      <x:c r="L92" s="7"/>
      <x:c r="M92" s="7"/>
      <x:c r="N92" s="7"/>
      <x:c r="O92" s="7"/>
      <x:c r="P92" s="7"/>
      <x:c r="Q92" s="3" t="str">
        <x:f>IF(COUNTA(A92:P92)=0,"",IFERROR(IF(AND(A92&lt;&gt;"",COUNTIF($A$2:$A$201,A92)=1,OR(LEFT(B92,2)="V-",LEFT(B92,4)="SYN-"),LEN(MID(B92,IF(LEFT(B92,2)="V-",3,5),30))&gt;0,ISNUMBER(VALUE(MID(B92,IF(LEFT(B92,2)="V-",3,5),30))),VALUE(MID(B92,IF(LEFT(B92,2)="V-",3,5),30))&gt;=0,MOD(VALUE(MID(B92,IF(LEFT(B92,2)="V-",3,5),30)),1)=0,COUNTIFS(Slots!$A$2:$A$31,"E1",Slots!$B$2:$B$31,C92)=1,ISNUMBER(SEARCH("|"&amp;D92&amp;"|","|"&amp;Settings!$B$9&amp;"|")),OR(E92="regular",E92="first"),OR(F92="include",F92="duplicate",F92="late"),OR(H92="yes",H92="no"),OR(I92="success",I92="failed",I92="unknown",I92="not_sent"),OR(K92="yes",K92="no",K92="none",K92="conflict",K92="unknown"),OR(L92="text",L92="emoji",L92="voice",L92="none",L92="unknown"),OR(M92="yes",M92="no",M92="unknown"),OR(N92="yes",N92="no",N92="unknown"),ISNUMBER(O92),OR(O92=0,O92=1),OR(P92="",P92="soft_yes",P92="forgot",P92="time_place",P92="clash",P92="travel",P92="personal",P92="unknown",P92="silent_but_came"),OR(I92&lt;&gt;"success",AND(J92&lt;&gt;"",COUNTIFS($J$2:$J$201,J92,$I$2:$I$201,"success")=1)),OR(I92&lt;&gt;"not_sent",J92=""),IF(F92="duplicate",AND(COUNTIFS($A$2:$A$201,G92,$B$2:$B$201,B92,$C$2:$C$201,C92,$F$2:$F$201,"include")=1,H92="no",I92="not_sent",K92="none",M92="no",N92="no",O92=0),AND(G92="",N92&lt;&gt;"unknown",COUNTIFS($B$2:$B$201,B92,$F$2:$F$201,"&lt;&gt;duplicate")=1)),IF(F92="include",AND(H92="yes",K92&lt;&gt;"conflict",K92&lt;&gt;"unknown",M92&lt;&gt;"unknown",IF(OR(K92="yes",K92="no"),AND(M92="yes",OR(L92="text",L92="emoji",L92="voice")),L92="none")),TRUE),IF(F92="late",AND(H92="no",I92="not_sent",K92="none",L92="none",O92=0),TRUE)),"OK","CHECK"),"CHECK"))</x:f>
      </x:c>
      <x:c r="R92" s="3"/>
    </x:row>
    <x:row r="93" ht="22" customHeight="1">
      <x:c r="A93" s="8"/>
      <x:c r="B93" s="8"/>
      <x:c r="C93" s="8"/>
      <x:c r="D93" s="8"/>
      <x:c r="E93" s="7"/>
      <x:c r="F93" s="7"/>
      <x:c r="G93" s="7"/>
      <x:c r="H93" s="7"/>
      <x:c r="I93" s="7"/>
      <x:c r="J93" s="8"/>
      <x:c r="K93" s="7"/>
      <x:c r="L93" s="7"/>
      <x:c r="M93" s="7"/>
      <x:c r="N93" s="7"/>
      <x:c r="O93" s="7"/>
      <x:c r="P93" s="7"/>
      <x:c r="Q93" s="3" t="str">
        <x:f>IF(COUNTA(A93:P93)=0,"",IFERROR(IF(AND(A93&lt;&gt;"",COUNTIF($A$2:$A$201,A93)=1,OR(LEFT(B93,2)="V-",LEFT(B93,4)="SYN-"),LEN(MID(B93,IF(LEFT(B93,2)="V-",3,5),30))&gt;0,ISNUMBER(VALUE(MID(B93,IF(LEFT(B93,2)="V-",3,5),30))),VALUE(MID(B93,IF(LEFT(B93,2)="V-",3,5),30))&gt;=0,MOD(VALUE(MID(B93,IF(LEFT(B93,2)="V-",3,5),30)),1)=0,COUNTIFS(Slots!$A$2:$A$31,"E1",Slots!$B$2:$B$31,C93)=1,ISNUMBER(SEARCH("|"&amp;D93&amp;"|","|"&amp;Settings!$B$9&amp;"|")),OR(E93="regular",E93="first"),OR(F93="include",F93="duplicate",F93="late"),OR(H93="yes",H93="no"),OR(I93="success",I93="failed",I93="unknown",I93="not_sent"),OR(K93="yes",K93="no",K93="none",K93="conflict",K93="unknown"),OR(L93="text",L93="emoji",L93="voice",L93="none",L93="unknown"),OR(M93="yes",M93="no",M93="unknown"),OR(N93="yes",N93="no",N93="unknown"),ISNUMBER(O93),OR(O93=0,O93=1),OR(P93="",P93="soft_yes",P93="forgot",P93="time_place",P93="clash",P93="travel",P93="personal",P93="unknown",P93="silent_but_came"),OR(I93&lt;&gt;"success",AND(J93&lt;&gt;"",COUNTIFS($J$2:$J$201,J93,$I$2:$I$201,"success")=1)),OR(I93&lt;&gt;"not_sent",J93=""),IF(F93="duplicate",AND(COUNTIFS($A$2:$A$201,G93,$B$2:$B$201,B93,$C$2:$C$201,C93,$F$2:$F$201,"include")=1,H93="no",I93="not_sent",K93="none",M93="no",N93="no",O93=0),AND(G93="",N93&lt;&gt;"unknown",COUNTIFS($B$2:$B$201,B93,$F$2:$F$201,"&lt;&gt;duplicate")=1)),IF(F93="include",AND(H93="yes",K93&lt;&gt;"conflict",K93&lt;&gt;"unknown",M93&lt;&gt;"unknown",IF(OR(K93="yes",K93="no"),AND(M93="yes",OR(L93="text",L93="emoji",L93="voice")),L93="none")),TRUE),IF(F93="late",AND(H93="no",I93="not_sent",K93="none",L93="none",O93=0),TRUE)),"OK","CHECK"),"CHECK"))</x:f>
      </x:c>
      <x:c r="R93" s="3"/>
    </x:row>
    <x:row r="94" ht="22" customHeight="1">
      <x:c r="A94" s="8"/>
      <x:c r="B94" s="8"/>
      <x:c r="C94" s="8"/>
      <x:c r="D94" s="8"/>
      <x:c r="E94" s="7"/>
      <x:c r="F94" s="7"/>
      <x:c r="G94" s="7"/>
      <x:c r="H94" s="7"/>
      <x:c r="I94" s="7"/>
      <x:c r="J94" s="8"/>
      <x:c r="K94" s="7"/>
      <x:c r="L94" s="7"/>
      <x:c r="M94" s="7"/>
      <x:c r="N94" s="7"/>
      <x:c r="O94" s="7"/>
      <x:c r="P94" s="7"/>
      <x:c r="Q94" s="3" t="str">
        <x:f>IF(COUNTA(A94:P94)=0,"",IFERROR(IF(AND(A94&lt;&gt;"",COUNTIF($A$2:$A$201,A94)=1,OR(LEFT(B94,2)="V-",LEFT(B94,4)="SYN-"),LEN(MID(B94,IF(LEFT(B94,2)="V-",3,5),30))&gt;0,ISNUMBER(VALUE(MID(B94,IF(LEFT(B94,2)="V-",3,5),30))),VALUE(MID(B94,IF(LEFT(B94,2)="V-",3,5),30))&gt;=0,MOD(VALUE(MID(B94,IF(LEFT(B94,2)="V-",3,5),30)),1)=0,COUNTIFS(Slots!$A$2:$A$31,"E1",Slots!$B$2:$B$31,C94)=1,ISNUMBER(SEARCH("|"&amp;D94&amp;"|","|"&amp;Settings!$B$9&amp;"|")),OR(E94="regular",E94="first"),OR(F94="include",F94="duplicate",F94="late"),OR(H94="yes",H94="no"),OR(I94="success",I94="failed",I94="unknown",I94="not_sent"),OR(K94="yes",K94="no",K94="none",K94="conflict",K94="unknown"),OR(L94="text",L94="emoji",L94="voice",L94="none",L94="unknown"),OR(M94="yes",M94="no",M94="unknown"),OR(N94="yes",N94="no",N94="unknown"),ISNUMBER(O94),OR(O94=0,O94=1),OR(P94="",P94="soft_yes",P94="forgot",P94="time_place",P94="clash",P94="travel",P94="personal",P94="unknown",P94="silent_but_came"),OR(I94&lt;&gt;"success",AND(J94&lt;&gt;"",COUNTIFS($J$2:$J$201,J94,$I$2:$I$201,"success")=1)),OR(I94&lt;&gt;"not_sent",J94=""),IF(F94="duplicate",AND(COUNTIFS($A$2:$A$201,G94,$B$2:$B$201,B94,$C$2:$C$201,C94,$F$2:$F$201,"include")=1,H94="no",I94="not_sent",K94="none",M94="no",N94="no",O94=0),AND(G94="",N94&lt;&gt;"unknown",COUNTIFS($B$2:$B$201,B94,$F$2:$F$201,"&lt;&gt;duplicate")=1)),IF(F94="include",AND(H94="yes",K94&lt;&gt;"conflict",K94&lt;&gt;"unknown",M94&lt;&gt;"unknown",IF(OR(K94="yes",K94="no"),AND(M94="yes",OR(L94="text",L94="emoji",L94="voice")),L94="none")),TRUE),IF(F94="late",AND(H94="no",I94="not_sent",K94="none",L94="none",O94=0),TRUE)),"OK","CHECK"),"CHECK"))</x:f>
      </x:c>
      <x:c r="R94" s="3"/>
    </x:row>
    <x:row r="95" ht="22" customHeight="1">
      <x:c r="A95" s="8"/>
      <x:c r="B95" s="8"/>
      <x:c r="C95" s="8"/>
      <x:c r="D95" s="8"/>
      <x:c r="E95" s="7"/>
      <x:c r="F95" s="7"/>
      <x:c r="G95" s="7"/>
      <x:c r="H95" s="7"/>
      <x:c r="I95" s="7"/>
      <x:c r="J95" s="8"/>
      <x:c r="K95" s="7"/>
      <x:c r="L95" s="7"/>
      <x:c r="M95" s="7"/>
      <x:c r="N95" s="7"/>
      <x:c r="O95" s="7"/>
      <x:c r="P95" s="7"/>
      <x:c r="Q95" s="3" t="str">
        <x:f>IF(COUNTA(A95:P95)=0,"",IFERROR(IF(AND(A95&lt;&gt;"",COUNTIF($A$2:$A$201,A95)=1,OR(LEFT(B95,2)="V-",LEFT(B95,4)="SYN-"),LEN(MID(B95,IF(LEFT(B95,2)="V-",3,5),30))&gt;0,ISNUMBER(VALUE(MID(B95,IF(LEFT(B95,2)="V-",3,5),30))),VALUE(MID(B95,IF(LEFT(B95,2)="V-",3,5),30))&gt;=0,MOD(VALUE(MID(B95,IF(LEFT(B95,2)="V-",3,5),30)),1)=0,COUNTIFS(Slots!$A$2:$A$31,"E1",Slots!$B$2:$B$31,C95)=1,ISNUMBER(SEARCH("|"&amp;D95&amp;"|","|"&amp;Settings!$B$9&amp;"|")),OR(E95="regular",E95="first"),OR(F95="include",F95="duplicate",F95="late"),OR(H95="yes",H95="no"),OR(I95="success",I95="failed",I95="unknown",I95="not_sent"),OR(K95="yes",K95="no",K95="none",K95="conflict",K95="unknown"),OR(L95="text",L95="emoji",L95="voice",L95="none",L95="unknown"),OR(M95="yes",M95="no",M95="unknown"),OR(N95="yes",N95="no",N95="unknown"),ISNUMBER(O95),OR(O95=0,O95=1),OR(P95="",P95="soft_yes",P95="forgot",P95="time_place",P95="clash",P95="travel",P95="personal",P95="unknown",P95="silent_but_came"),OR(I95&lt;&gt;"success",AND(J95&lt;&gt;"",COUNTIFS($J$2:$J$201,J95,$I$2:$I$201,"success")=1)),OR(I95&lt;&gt;"not_sent",J95=""),IF(F95="duplicate",AND(COUNTIFS($A$2:$A$201,G95,$B$2:$B$201,B95,$C$2:$C$201,C95,$F$2:$F$201,"include")=1,H95="no",I95="not_sent",K95="none",M95="no",N95="no",O95=0),AND(G95="",N95&lt;&gt;"unknown",COUNTIFS($B$2:$B$201,B95,$F$2:$F$201,"&lt;&gt;duplicate")=1)),IF(F95="include",AND(H95="yes",K95&lt;&gt;"conflict",K95&lt;&gt;"unknown",M95&lt;&gt;"unknown",IF(OR(K95="yes",K95="no"),AND(M95="yes",OR(L95="text",L95="emoji",L95="voice")),L95="none")),TRUE),IF(F95="late",AND(H95="no",I95="not_sent",K95="none",L95="none",O95=0),TRUE)),"OK","CHECK"),"CHECK"))</x:f>
      </x:c>
      <x:c r="R95" s="3"/>
    </x:row>
    <x:row r="96" ht="22" customHeight="1">
      <x:c r="A96" s="8"/>
      <x:c r="B96" s="8"/>
      <x:c r="C96" s="8"/>
      <x:c r="D96" s="8"/>
      <x:c r="E96" s="7"/>
      <x:c r="F96" s="7"/>
      <x:c r="G96" s="7"/>
      <x:c r="H96" s="7"/>
      <x:c r="I96" s="7"/>
      <x:c r="J96" s="8"/>
      <x:c r="K96" s="7"/>
      <x:c r="L96" s="7"/>
      <x:c r="M96" s="7"/>
      <x:c r="N96" s="7"/>
      <x:c r="O96" s="7"/>
      <x:c r="P96" s="7"/>
      <x:c r="Q96" s="3" t="str">
        <x:f>IF(COUNTA(A96:P96)=0,"",IFERROR(IF(AND(A96&lt;&gt;"",COUNTIF($A$2:$A$201,A96)=1,OR(LEFT(B96,2)="V-",LEFT(B96,4)="SYN-"),LEN(MID(B96,IF(LEFT(B96,2)="V-",3,5),30))&gt;0,ISNUMBER(VALUE(MID(B96,IF(LEFT(B96,2)="V-",3,5),30))),VALUE(MID(B96,IF(LEFT(B96,2)="V-",3,5),30))&gt;=0,MOD(VALUE(MID(B96,IF(LEFT(B96,2)="V-",3,5),30)),1)=0,COUNTIFS(Slots!$A$2:$A$31,"E1",Slots!$B$2:$B$31,C96)=1,ISNUMBER(SEARCH("|"&amp;D96&amp;"|","|"&amp;Settings!$B$9&amp;"|")),OR(E96="regular",E96="first"),OR(F96="include",F96="duplicate",F96="late"),OR(H96="yes",H96="no"),OR(I96="success",I96="failed",I96="unknown",I96="not_sent"),OR(K96="yes",K96="no",K96="none",K96="conflict",K96="unknown"),OR(L96="text",L96="emoji",L96="voice",L96="none",L96="unknown"),OR(M96="yes",M96="no",M96="unknown"),OR(N96="yes",N96="no",N96="unknown"),ISNUMBER(O96),OR(O96=0,O96=1),OR(P96="",P96="soft_yes",P96="forgot",P96="time_place",P96="clash",P96="travel",P96="personal",P96="unknown",P96="silent_but_came"),OR(I96&lt;&gt;"success",AND(J96&lt;&gt;"",COUNTIFS($J$2:$J$201,J96,$I$2:$I$201,"success")=1)),OR(I96&lt;&gt;"not_sent",J96=""),IF(F96="duplicate",AND(COUNTIFS($A$2:$A$201,G96,$B$2:$B$201,B96,$C$2:$C$201,C96,$F$2:$F$201,"include")=1,H96="no",I96="not_sent",K96="none",M96="no",N96="no",O96=0),AND(G96="",N96&lt;&gt;"unknown",COUNTIFS($B$2:$B$201,B96,$F$2:$F$201,"&lt;&gt;duplicate")=1)),IF(F96="include",AND(H96="yes",K96&lt;&gt;"conflict",K96&lt;&gt;"unknown",M96&lt;&gt;"unknown",IF(OR(K96="yes",K96="no"),AND(M96="yes",OR(L96="text",L96="emoji",L96="voice")),L96="none")),TRUE),IF(F96="late",AND(H96="no",I96="not_sent",K96="none",L96="none",O96=0),TRUE)),"OK","CHECK"),"CHECK"))</x:f>
      </x:c>
      <x:c r="R96" s="3"/>
    </x:row>
    <x:row r="97" ht="22" customHeight="1">
      <x:c r="A97" s="8"/>
      <x:c r="B97" s="8"/>
      <x:c r="C97" s="8"/>
      <x:c r="D97" s="8"/>
      <x:c r="E97" s="7"/>
      <x:c r="F97" s="7"/>
      <x:c r="G97" s="7"/>
      <x:c r="H97" s="7"/>
      <x:c r="I97" s="7"/>
      <x:c r="J97" s="8"/>
      <x:c r="K97" s="7"/>
      <x:c r="L97" s="7"/>
      <x:c r="M97" s="7"/>
      <x:c r="N97" s="7"/>
      <x:c r="O97" s="7"/>
      <x:c r="P97" s="7"/>
      <x:c r="Q97" s="3" t="str">
        <x:f>IF(COUNTA(A97:P97)=0,"",IFERROR(IF(AND(A97&lt;&gt;"",COUNTIF($A$2:$A$201,A97)=1,OR(LEFT(B97,2)="V-",LEFT(B97,4)="SYN-"),LEN(MID(B97,IF(LEFT(B97,2)="V-",3,5),30))&gt;0,ISNUMBER(VALUE(MID(B97,IF(LEFT(B97,2)="V-",3,5),30))),VALUE(MID(B97,IF(LEFT(B97,2)="V-",3,5),30))&gt;=0,MOD(VALUE(MID(B97,IF(LEFT(B97,2)="V-",3,5),30)),1)=0,COUNTIFS(Slots!$A$2:$A$31,"E1",Slots!$B$2:$B$31,C97)=1,ISNUMBER(SEARCH("|"&amp;D97&amp;"|","|"&amp;Settings!$B$9&amp;"|")),OR(E97="regular",E97="first"),OR(F97="include",F97="duplicate",F97="late"),OR(H97="yes",H97="no"),OR(I97="success",I97="failed",I97="unknown",I97="not_sent"),OR(K97="yes",K97="no",K97="none",K97="conflict",K97="unknown"),OR(L97="text",L97="emoji",L97="voice",L97="none",L97="unknown"),OR(M97="yes",M97="no",M97="unknown"),OR(N97="yes",N97="no",N97="unknown"),ISNUMBER(O97),OR(O97=0,O97=1),OR(P97="",P97="soft_yes",P97="forgot",P97="time_place",P97="clash",P97="travel",P97="personal",P97="unknown",P97="silent_but_came"),OR(I97&lt;&gt;"success",AND(J97&lt;&gt;"",COUNTIFS($J$2:$J$201,J97,$I$2:$I$201,"success")=1)),OR(I97&lt;&gt;"not_sent",J97=""),IF(F97="duplicate",AND(COUNTIFS($A$2:$A$201,G97,$B$2:$B$201,B97,$C$2:$C$201,C97,$F$2:$F$201,"include")=1,H97="no",I97="not_sent",K97="none",M97="no",N97="no",O97=0),AND(G97="",N97&lt;&gt;"unknown",COUNTIFS($B$2:$B$201,B97,$F$2:$F$201,"&lt;&gt;duplicate")=1)),IF(F97="include",AND(H97="yes",K97&lt;&gt;"conflict",K97&lt;&gt;"unknown",M97&lt;&gt;"unknown",IF(OR(K97="yes",K97="no"),AND(M97="yes",OR(L97="text",L97="emoji",L97="voice")),L97="none")),TRUE),IF(F97="late",AND(H97="no",I97="not_sent",K97="none",L97="none",O97=0),TRUE)),"OK","CHECK"),"CHECK"))</x:f>
      </x:c>
      <x:c r="R97" s="3"/>
    </x:row>
    <x:row r="98" ht="22" customHeight="1">
      <x:c r="A98" s="8"/>
      <x:c r="B98" s="8"/>
      <x:c r="C98" s="8"/>
      <x:c r="D98" s="8"/>
      <x:c r="E98" s="7"/>
      <x:c r="F98" s="7"/>
      <x:c r="G98" s="7"/>
      <x:c r="H98" s="7"/>
      <x:c r="I98" s="7"/>
      <x:c r="J98" s="8"/>
      <x:c r="K98" s="7"/>
      <x:c r="L98" s="7"/>
      <x:c r="M98" s="7"/>
      <x:c r="N98" s="7"/>
      <x:c r="O98" s="7"/>
      <x:c r="P98" s="7"/>
      <x:c r="Q98" s="3" t="str">
        <x:f>IF(COUNTA(A98:P98)=0,"",IFERROR(IF(AND(A98&lt;&gt;"",COUNTIF($A$2:$A$201,A98)=1,OR(LEFT(B98,2)="V-",LEFT(B98,4)="SYN-"),LEN(MID(B98,IF(LEFT(B98,2)="V-",3,5),30))&gt;0,ISNUMBER(VALUE(MID(B98,IF(LEFT(B98,2)="V-",3,5),30))),VALUE(MID(B98,IF(LEFT(B98,2)="V-",3,5),30))&gt;=0,MOD(VALUE(MID(B98,IF(LEFT(B98,2)="V-",3,5),30)),1)=0,COUNTIFS(Slots!$A$2:$A$31,"E1",Slots!$B$2:$B$31,C98)=1,ISNUMBER(SEARCH("|"&amp;D98&amp;"|","|"&amp;Settings!$B$9&amp;"|")),OR(E98="regular",E98="first"),OR(F98="include",F98="duplicate",F98="late"),OR(H98="yes",H98="no"),OR(I98="success",I98="failed",I98="unknown",I98="not_sent"),OR(K98="yes",K98="no",K98="none",K98="conflict",K98="unknown"),OR(L98="text",L98="emoji",L98="voice",L98="none",L98="unknown"),OR(M98="yes",M98="no",M98="unknown"),OR(N98="yes",N98="no",N98="unknown"),ISNUMBER(O98),OR(O98=0,O98=1),OR(P98="",P98="soft_yes",P98="forgot",P98="time_place",P98="clash",P98="travel",P98="personal",P98="unknown",P98="silent_but_came"),OR(I98&lt;&gt;"success",AND(J98&lt;&gt;"",COUNTIFS($J$2:$J$201,J98,$I$2:$I$201,"success")=1)),OR(I98&lt;&gt;"not_sent",J98=""),IF(F98="duplicate",AND(COUNTIFS($A$2:$A$201,G98,$B$2:$B$201,B98,$C$2:$C$201,C98,$F$2:$F$201,"include")=1,H98="no",I98="not_sent",K98="none",M98="no",N98="no",O98=0),AND(G98="",N98&lt;&gt;"unknown",COUNTIFS($B$2:$B$201,B98,$F$2:$F$201,"&lt;&gt;duplicate")=1)),IF(F98="include",AND(H98="yes",K98&lt;&gt;"conflict",K98&lt;&gt;"unknown",M98&lt;&gt;"unknown",IF(OR(K98="yes",K98="no"),AND(M98="yes",OR(L98="text",L98="emoji",L98="voice")),L98="none")),TRUE),IF(F98="late",AND(H98="no",I98="not_sent",K98="none",L98="none",O98=0),TRUE)),"OK","CHECK"),"CHECK"))</x:f>
      </x:c>
      <x:c r="R98" s="3"/>
    </x:row>
    <x:row r="99" ht="22" customHeight="1">
      <x:c r="A99" s="8"/>
      <x:c r="B99" s="8"/>
      <x:c r="C99" s="8"/>
      <x:c r="D99" s="8"/>
      <x:c r="E99" s="7"/>
      <x:c r="F99" s="7"/>
      <x:c r="G99" s="7"/>
      <x:c r="H99" s="7"/>
      <x:c r="I99" s="7"/>
      <x:c r="J99" s="8"/>
      <x:c r="K99" s="7"/>
      <x:c r="L99" s="7"/>
      <x:c r="M99" s="7"/>
      <x:c r="N99" s="7"/>
      <x:c r="O99" s="7"/>
      <x:c r="P99" s="7"/>
      <x:c r="Q99" s="3" t="str">
        <x:f>IF(COUNTA(A99:P99)=0,"",IFERROR(IF(AND(A99&lt;&gt;"",COUNTIF($A$2:$A$201,A99)=1,OR(LEFT(B99,2)="V-",LEFT(B99,4)="SYN-"),LEN(MID(B99,IF(LEFT(B99,2)="V-",3,5),30))&gt;0,ISNUMBER(VALUE(MID(B99,IF(LEFT(B99,2)="V-",3,5),30))),VALUE(MID(B99,IF(LEFT(B99,2)="V-",3,5),30))&gt;=0,MOD(VALUE(MID(B99,IF(LEFT(B99,2)="V-",3,5),30)),1)=0,COUNTIFS(Slots!$A$2:$A$31,"E1",Slots!$B$2:$B$31,C99)=1,ISNUMBER(SEARCH("|"&amp;D99&amp;"|","|"&amp;Settings!$B$9&amp;"|")),OR(E99="regular",E99="first"),OR(F99="include",F99="duplicate",F99="late"),OR(H99="yes",H99="no"),OR(I99="success",I99="failed",I99="unknown",I99="not_sent"),OR(K99="yes",K99="no",K99="none",K99="conflict",K99="unknown"),OR(L99="text",L99="emoji",L99="voice",L99="none",L99="unknown"),OR(M99="yes",M99="no",M99="unknown"),OR(N99="yes",N99="no",N99="unknown"),ISNUMBER(O99),OR(O99=0,O99=1),OR(P99="",P99="soft_yes",P99="forgot",P99="time_place",P99="clash",P99="travel",P99="personal",P99="unknown",P99="silent_but_came"),OR(I99&lt;&gt;"success",AND(J99&lt;&gt;"",COUNTIFS($J$2:$J$201,J99,$I$2:$I$201,"success")=1)),OR(I99&lt;&gt;"not_sent",J99=""),IF(F99="duplicate",AND(COUNTIFS($A$2:$A$201,G99,$B$2:$B$201,B99,$C$2:$C$201,C99,$F$2:$F$201,"include")=1,H99="no",I99="not_sent",K99="none",M99="no",N99="no",O99=0),AND(G99="",N99&lt;&gt;"unknown",COUNTIFS($B$2:$B$201,B99,$F$2:$F$201,"&lt;&gt;duplicate")=1)),IF(F99="include",AND(H99="yes",K99&lt;&gt;"conflict",K99&lt;&gt;"unknown",M99&lt;&gt;"unknown",IF(OR(K99="yes",K99="no"),AND(M99="yes",OR(L99="text",L99="emoji",L99="voice")),L99="none")),TRUE),IF(F99="late",AND(H99="no",I99="not_sent",K99="none",L99="none",O99=0),TRUE)),"OK","CHECK"),"CHECK"))</x:f>
      </x:c>
      <x:c r="R99" s="3"/>
    </x:row>
    <x:row r="100" ht="22" customHeight="1">
      <x:c r="A100" s="8"/>
      <x:c r="B100" s="8"/>
      <x:c r="C100" s="8"/>
      <x:c r="D100" s="8"/>
      <x:c r="E100" s="7"/>
      <x:c r="F100" s="7"/>
      <x:c r="G100" s="7"/>
      <x:c r="H100" s="7"/>
      <x:c r="I100" s="7"/>
      <x:c r="J100" s="8"/>
      <x:c r="K100" s="7"/>
      <x:c r="L100" s="7"/>
      <x:c r="M100" s="7"/>
      <x:c r="N100" s="7"/>
      <x:c r="O100" s="7"/>
      <x:c r="P100" s="7"/>
      <x:c r="Q100" s="3" t="str">
        <x:f>IF(COUNTA(A100:P100)=0,"",IFERROR(IF(AND(A100&lt;&gt;"",COUNTIF($A$2:$A$201,A100)=1,OR(LEFT(B100,2)="V-",LEFT(B100,4)="SYN-"),LEN(MID(B100,IF(LEFT(B100,2)="V-",3,5),30))&gt;0,ISNUMBER(VALUE(MID(B100,IF(LEFT(B100,2)="V-",3,5),30))),VALUE(MID(B100,IF(LEFT(B100,2)="V-",3,5),30))&gt;=0,MOD(VALUE(MID(B100,IF(LEFT(B100,2)="V-",3,5),30)),1)=0,COUNTIFS(Slots!$A$2:$A$31,"E1",Slots!$B$2:$B$31,C100)=1,ISNUMBER(SEARCH("|"&amp;D100&amp;"|","|"&amp;Settings!$B$9&amp;"|")),OR(E100="regular",E100="first"),OR(F100="include",F100="duplicate",F100="late"),OR(H100="yes",H100="no"),OR(I100="success",I100="failed",I100="unknown",I100="not_sent"),OR(K100="yes",K100="no",K100="none",K100="conflict",K100="unknown"),OR(L100="text",L100="emoji",L100="voice",L100="none",L100="unknown"),OR(M100="yes",M100="no",M100="unknown"),OR(N100="yes",N100="no",N100="unknown"),ISNUMBER(O100),OR(O100=0,O100=1),OR(P100="",P100="soft_yes",P100="forgot",P100="time_place",P100="clash",P100="travel",P100="personal",P100="unknown",P100="silent_but_came"),OR(I100&lt;&gt;"success",AND(J100&lt;&gt;"",COUNTIFS($J$2:$J$201,J100,$I$2:$I$201,"success")=1)),OR(I100&lt;&gt;"not_sent",J100=""),IF(F100="duplicate",AND(COUNTIFS($A$2:$A$201,G100,$B$2:$B$201,B100,$C$2:$C$201,C100,$F$2:$F$201,"include")=1,H100="no",I100="not_sent",K100="none",M100="no",N100="no",O100=0),AND(G100="",N100&lt;&gt;"unknown",COUNTIFS($B$2:$B$201,B100,$F$2:$F$201,"&lt;&gt;duplicate")=1)),IF(F100="include",AND(H100="yes",K100&lt;&gt;"conflict",K100&lt;&gt;"unknown",M100&lt;&gt;"unknown",IF(OR(K100="yes",K100="no"),AND(M100="yes",OR(L100="text",L100="emoji",L100="voice")),L100="none")),TRUE),IF(F100="late",AND(H100="no",I100="not_sent",K100="none",L100="none",O100=0),TRUE)),"OK","CHECK"),"CHECK"))</x:f>
      </x:c>
      <x:c r="R100" s="3"/>
    </x:row>
    <x:row r="101" ht="22" customHeight="1">
      <x:c r="A101" s="8"/>
      <x:c r="B101" s="8"/>
      <x:c r="C101" s="8"/>
      <x:c r="D101" s="8"/>
      <x:c r="E101" s="7"/>
      <x:c r="F101" s="7"/>
      <x:c r="G101" s="7"/>
      <x:c r="H101" s="7"/>
      <x:c r="I101" s="7"/>
      <x:c r="J101" s="8"/>
      <x:c r="K101" s="7"/>
      <x:c r="L101" s="7"/>
      <x:c r="M101" s="7"/>
      <x:c r="N101" s="7"/>
      <x:c r="O101" s="7"/>
      <x:c r="P101" s="7"/>
      <x:c r="Q101" s="3" t="str">
        <x:f>IF(COUNTA(A101:P101)=0,"",IFERROR(IF(AND(A101&lt;&gt;"",COUNTIF($A$2:$A$201,A101)=1,OR(LEFT(B101,2)="V-",LEFT(B101,4)="SYN-"),LEN(MID(B101,IF(LEFT(B101,2)="V-",3,5),30))&gt;0,ISNUMBER(VALUE(MID(B101,IF(LEFT(B101,2)="V-",3,5),30))),VALUE(MID(B101,IF(LEFT(B101,2)="V-",3,5),30))&gt;=0,MOD(VALUE(MID(B101,IF(LEFT(B101,2)="V-",3,5),30)),1)=0,COUNTIFS(Slots!$A$2:$A$31,"E1",Slots!$B$2:$B$31,C101)=1,ISNUMBER(SEARCH("|"&amp;D101&amp;"|","|"&amp;Settings!$B$9&amp;"|")),OR(E101="regular",E101="first"),OR(F101="include",F101="duplicate",F101="late"),OR(H101="yes",H101="no"),OR(I101="success",I101="failed",I101="unknown",I101="not_sent"),OR(K101="yes",K101="no",K101="none",K101="conflict",K101="unknown"),OR(L101="text",L101="emoji",L101="voice",L101="none",L101="unknown"),OR(M101="yes",M101="no",M101="unknown"),OR(N101="yes",N101="no",N101="unknown"),ISNUMBER(O101),OR(O101=0,O101=1),OR(P101="",P101="soft_yes",P101="forgot",P101="time_place",P101="clash",P101="travel",P101="personal",P101="unknown",P101="silent_but_came"),OR(I101&lt;&gt;"success",AND(J101&lt;&gt;"",COUNTIFS($J$2:$J$201,J101,$I$2:$I$201,"success")=1)),OR(I101&lt;&gt;"not_sent",J101=""),IF(F101="duplicate",AND(COUNTIFS($A$2:$A$201,G101,$B$2:$B$201,B101,$C$2:$C$201,C101,$F$2:$F$201,"include")=1,H101="no",I101="not_sent",K101="none",M101="no",N101="no",O101=0),AND(G101="",N101&lt;&gt;"unknown",COUNTIFS($B$2:$B$201,B101,$F$2:$F$201,"&lt;&gt;duplicate")=1)),IF(F101="include",AND(H101="yes",K101&lt;&gt;"conflict",K101&lt;&gt;"unknown",M101&lt;&gt;"unknown",IF(OR(K101="yes",K101="no"),AND(M101="yes",OR(L101="text",L101="emoji",L101="voice")),L101="none")),TRUE),IF(F101="late",AND(H101="no",I101="not_sent",K101="none",L101="none",O101=0),TRUE)),"OK","CHECK"),"CHECK"))</x:f>
      </x:c>
      <x:c r="R101" s="3"/>
    </x:row>
    <x:row r="102" ht="22" customHeight="1">
      <x:c r="A102" s="8"/>
      <x:c r="B102" s="8"/>
      <x:c r="C102" s="8"/>
      <x:c r="D102" s="8"/>
      <x:c r="E102" s="7"/>
      <x:c r="F102" s="7"/>
      <x:c r="G102" s="7"/>
      <x:c r="H102" s="7"/>
      <x:c r="I102" s="7"/>
      <x:c r="J102" s="8"/>
      <x:c r="K102" s="7"/>
      <x:c r="L102" s="7"/>
      <x:c r="M102" s="7"/>
      <x:c r="N102" s="7"/>
      <x:c r="O102" s="7"/>
      <x:c r="P102" s="7"/>
      <x:c r="Q102" s="3" t="str">
        <x:f>IF(COUNTA(A102:P102)=0,"",IFERROR(IF(AND(A102&lt;&gt;"",COUNTIF($A$2:$A$201,A102)=1,OR(LEFT(B102,2)="V-",LEFT(B102,4)="SYN-"),LEN(MID(B102,IF(LEFT(B102,2)="V-",3,5),30))&gt;0,ISNUMBER(VALUE(MID(B102,IF(LEFT(B102,2)="V-",3,5),30))),VALUE(MID(B102,IF(LEFT(B102,2)="V-",3,5),30))&gt;=0,MOD(VALUE(MID(B102,IF(LEFT(B102,2)="V-",3,5),30)),1)=0,COUNTIFS(Slots!$A$2:$A$31,"E1",Slots!$B$2:$B$31,C102)=1,ISNUMBER(SEARCH("|"&amp;D102&amp;"|","|"&amp;Settings!$B$9&amp;"|")),OR(E102="regular",E102="first"),OR(F102="include",F102="duplicate",F102="late"),OR(H102="yes",H102="no"),OR(I102="success",I102="failed",I102="unknown",I102="not_sent"),OR(K102="yes",K102="no",K102="none",K102="conflict",K102="unknown"),OR(L102="text",L102="emoji",L102="voice",L102="none",L102="unknown"),OR(M102="yes",M102="no",M102="unknown"),OR(N102="yes",N102="no",N102="unknown"),ISNUMBER(O102),OR(O102=0,O102=1),OR(P102="",P102="soft_yes",P102="forgot",P102="time_place",P102="clash",P102="travel",P102="personal",P102="unknown",P102="silent_but_came"),OR(I102&lt;&gt;"success",AND(J102&lt;&gt;"",COUNTIFS($J$2:$J$201,J102,$I$2:$I$201,"success")=1)),OR(I102&lt;&gt;"not_sent",J102=""),IF(F102="duplicate",AND(COUNTIFS($A$2:$A$201,G102,$B$2:$B$201,B102,$C$2:$C$201,C102,$F$2:$F$201,"include")=1,H102="no",I102="not_sent",K102="none",M102="no",N102="no",O102=0),AND(G102="",N102&lt;&gt;"unknown",COUNTIFS($B$2:$B$201,B102,$F$2:$F$201,"&lt;&gt;duplicate")=1)),IF(F102="include",AND(H102="yes",K102&lt;&gt;"conflict",K102&lt;&gt;"unknown",M102&lt;&gt;"unknown",IF(OR(K102="yes",K102="no"),AND(M102="yes",OR(L102="text",L102="emoji",L102="voice")),L102="none")),TRUE),IF(F102="late",AND(H102="no",I102="not_sent",K102="none",L102="none",O102=0),TRUE)),"OK","CHECK"),"CHECK"))</x:f>
      </x:c>
      <x:c r="R102" s="3"/>
    </x:row>
    <x:row r="103" ht="22" customHeight="1">
      <x:c r="A103" s="8"/>
      <x:c r="B103" s="8"/>
      <x:c r="C103" s="8"/>
      <x:c r="D103" s="8"/>
      <x:c r="E103" s="7"/>
      <x:c r="F103" s="7"/>
      <x:c r="G103" s="7"/>
      <x:c r="H103" s="7"/>
      <x:c r="I103" s="7"/>
      <x:c r="J103" s="8"/>
      <x:c r="K103" s="7"/>
      <x:c r="L103" s="7"/>
      <x:c r="M103" s="7"/>
      <x:c r="N103" s="7"/>
      <x:c r="O103" s="7"/>
      <x:c r="P103" s="7"/>
      <x:c r="Q103" s="3" t="str">
        <x:f>IF(COUNTA(A103:P103)=0,"",IFERROR(IF(AND(A103&lt;&gt;"",COUNTIF($A$2:$A$201,A103)=1,OR(LEFT(B103,2)="V-",LEFT(B103,4)="SYN-"),LEN(MID(B103,IF(LEFT(B103,2)="V-",3,5),30))&gt;0,ISNUMBER(VALUE(MID(B103,IF(LEFT(B103,2)="V-",3,5),30))),VALUE(MID(B103,IF(LEFT(B103,2)="V-",3,5),30))&gt;=0,MOD(VALUE(MID(B103,IF(LEFT(B103,2)="V-",3,5),30)),1)=0,COUNTIFS(Slots!$A$2:$A$31,"E1",Slots!$B$2:$B$31,C103)=1,ISNUMBER(SEARCH("|"&amp;D103&amp;"|","|"&amp;Settings!$B$9&amp;"|")),OR(E103="regular",E103="first"),OR(F103="include",F103="duplicate",F103="late"),OR(H103="yes",H103="no"),OR(I103="success",I103="failed",I103="unknown",I103="not_sent"),OR(K103="yes",K103="no",K103="none",K103="conflict",K103="unknown"),OR(L103="text",L103="emoji",L103="voice",L103="none",L103="unknown"),OR(M103="yes",M103="no",M103="unknown"),OR(N103="yes",N103="no",N103="unknown"),ISNUMBER(O103),OR(O103=0,O103=1),OR(P103="",P103="soft_yes",P103="forgot",P103="time_place",P103="clash",P103="travel",P103="personal",P103="unknown",P103="silent_but_came"),OR(I103&lt;&gt;"success",AND(J103&lt;&gt;"",COUNTIFS($J$2:$J$201,J103,$I$2:$I$201,"success")=1)),OR(I103&lt;&gt;"not_sent",J103=""),IF(F103="duplicate",AND(COUNTIFS($A$2:$A$201,G103,$B$2:$B$201,B103,$C$2:$C$201,C103,$F$2:$F$201,"include")=1,H103="no",I103="not_sent",K103="none",M103="no",N103="no",O103=0),AND(G103="",N103&lt;&gt;"unknown",COUNTIFS($B$2:$B$201,B103,$F$2:$F$201,"&lt;&gt;duplicate")=1)),IF(F103="include",AND(H103="yes",K103&lt;&gt;"conflict",K103&lt;&gt;"unknown",M103&lt;&gt;"unknown",IF(OR(K103="yes",K103="no"),AND(M103="yes",OR(L103="text",L103="emoji",L103="voice")),L103="none")),TRUE),IF(F103="late",AND(H103="no",I103="not_sent",K103="none",L103="none",O103=0),TRUE)),"OK","CHECK"),"CHECK"))</x:f>
      </x:c>
      <x:c r="R103" s="3"/>
    </x:row>
    <x:row r="104" ht="22" customHeight="1">
      <x:c r="A104" s="8"/>
      <x:c r="B104" s="8"/>
      <x:c r="C104" s="8"/>
      <x:c r="D104" s="8"/>
      <x:c r="E104" s="7"/>
      <x:c r="F104" s="7"/>
      <x:c r="G104" s="7"/>
      <x:c r="H104" s="7"/>
      <x:c r="I104" s="7"/>
      <x:c r="J104" s="8"/>
      <x:c r="K104" s="7"/>
      <x:c r="L104" s="7"/>
      <x:c r="M104" s="7"/>
      <x:c r="N104" s="7"/>
      <x:c r="O104" s="7"/>
      <x:c r="P104" s="7"/>
      <x:c r="Q104" s="3" t="str">
        <x:f>IF(COUNTA(A104:P104)=0,"",IFERROR(IF(AND(A104&lt;&gt;"",COUNTIF($A$2:$A$201,A104)=1,OR(LEFT(B104,2)="V-",LEFT(B104,4)="SYN-"),LEN(MID(B104,IF(LEFT(B104,2)="V-",3,5),30))&gt;0,ISNUMBER(VALUE(MID(B104,IF(LEFT(B104,2)="V-",3,5),30))),VALUE(MID(B104,IF(LEFT(B104,2)="V-",3,5),30))&gt;=0,MOD(VALUE(MID(B104,IF(LEFT(B104,2)="V-",3,5),30)),1)=0,COUNTIFS(Slots!$A$2:$A$31,"E1",Slots!$B$2:$B$31,C104)=1,ISNUMBER(SEARCH("|"&amp;D104&amp;"|","|"&amp;Settings!$B$9&amp;"|")),OR(E104="regular",E104="first"),OR(F104="include",F104="duplicate",F104="late"),OR(H104="yes",H104="no"),OR(I104="success",I104="failed",I104="unknown",I104="not_sent"),OR(K104="yes",K104="no",K104="none",K104="conflict",K104="unknown"),OR(L104="text",L104="emoji",L104="voice",L104="none",L104="unknown"),OR(M104="yes",M104="no",M104="unknown"),OR(N104="yes",N104="no",N104="unknown"),ISNUMBER(O104),OR(O104=0,O104=1),OR(P104="",P104="soft_yes",P104="forgot",P104="time_place",P104="clash",P104="travel",P104="personal",P104="unknown",P104="silent_but_came"),OR(I104&lt;&gt;"success",AND(J104&lt;&gt;"",COUNTIFS($J$2:$J$201,J104,$I$2:$I$201,"success")=1)),OR(I104&lt;&gt;"not_sent",J104=""),IF(F104="duplicate",AND(COUNTIFS($A$2:$A$201,G104,$B$2:$B$201,B104,$C$2:$C$201,C104,$F$2:$F$201,"include")=1,H104="no",I104="not_sent",K104="none",M104="no",N104="no",O104=0),AND(G104="",N104&lt;&gt;"unknown",COUNTIFS($B$2:$B$201,B104,$F$2:$F$201,"&lt;&gt;duplicate")=1)),IF(F104="include",AND(H104="yes",K104&lt;&gt;"conflict",K104&lt;&gt;"unknown",M104&lt;&gt;"unknown",IF(OR(K104="yes",K104="no"),AND(M104="yes",OR(L104="text",L104="emoji",L104="voice")),L104="none")),TRUE),IF(F104="late",AND(H104="no",I104="not_sent",K104="none",L104="none",O104=0),TRUE)),"OK","CHECK"),"CHECK"))</x:f>
      </x:c>
      <x:c r="R104" s="3"/>
    </x:row>
    <x:row r="105" ht="22" customHeight="1">
      <x:c r="A105" s="8"/>
      <x:c r="B105" s="8"/>
      <x:c r="C105" s="8"/>
      <x:c r="D105" s="8"/>
      <x:c r="E105" s="7"/>
      <x:c r="F105" s="7"/>
      <x:c r="G105" s="7"/>
      <x:c r="H105" s="7"/>
      <x:c r="I105" s="7"/>
      <x:c r="J105" s="8"/>
      <x:c r="K105" s="7"/>
      <x:c r="L105" s="7"/>
      <x:c r="M105" s="7"/>
      <x:c r="N105" s="7"/>
      <x:c r="O105" s="7"/>
      <x:c r="P105" s="7"/>
      <x:c r="Q105" s="3" t="str">
        <x:f>IF(COUNTA(A105:P105)=0,"",IFERROR(IF(AND(A105&lt;&gt;"",COUNTIF($A$2:$A$201,A105)=1,OR(LEFT(B105,2)="V-",LEFT(B105,4)="SYN-"),LEN(MID(B105,IF(LEFT(B105,2)="V-",3,5),30))&gt;0,ISNUMBER(VALUE(MID(B105,IF(LEFT(B105,2)="V-",3,5),30))),VALUE(MID(B105,IF(LEFT(B105,2)="V-",3,5),30))&gt;=0,MOD(VALUE(MID(B105,IF(LEFT(B105,2)="V-",3,5),30)),1)=0,COUNTIFS(Slots!$A$2:$A$31,"E1",Slots!$B$2:$B$31,C105)=1,ISNUMBER(SEARCH("|"&amp;D105&amp;"|","|"&amp;Settings!$B$9&amp;"|")),OR(E105="regular",E105="first"),OR(F105="include",F105="duplicate",F105="late"),OR(H105="yes",H105="no"),OR(I105="success",I105="failed",I105="unknown",I105="not_sent"),OR(K105="yes",K105="no",K105="none",K105="conflict",K105="unknown"),OR(L105="text",L105="emoji",L105="voice",L105="none",L105="unknown"),OR(M105="yes",M105="no",M105="unknown"),OR(N105="yes",N105="no",N105="unknown"),ISNUMBER(O105),OR(O105=0,O105=1),OR(P105="",P105="soft_yes",P105="forgot",P105="time_place",P105="clash",P105="travel",P105="personal",P105="unknown",P105="silent_but_came"),OR(I105&lt;&gt;"success",AND(J105&lt;&gt;"",COUNTIFS($J$2:$J$201,J105,$I$2:$I$201,"success")=1)),OR(I105&lt;&gt;"not_sent",J105=""),IF(F105="duplicate",AND(COUNTIFS($A$2:$A$201,G105,$B$2:$B$201,B105,$C$2:$C$201,C105,$F$2:$F$201,"include")=1,H105="no",I105="not_sent",K105="none",M105="no",N105="no",O105=0),AND(G105="",N105&lt;&gt;"unknown",COUNTIFS($B$2:$B$201,B105,$F$2:$F$201,"&lt;&gt;duplicate")=1)),IF(F105="include",AND(H105="yes",K105&lt;&gt;"conflict",K105&lt;&gt;"unknown",M105&lt;&gt;"unknown",IF(OR(K105="yes",K105="no"),AND(M105="yes",OR(L105="text",L105="emoji",L105="voice")),L105="none")),TRUE),IF(F105="late",AND(H105="no",I105="not_sent",K105="none",L105="none",O105=0),TRUE)),"OK","CHECK"),"CHECK"))</x:f>
      </x:c>
      <x:c r="R105" s="3"/>
    </x:row>
    <x:row r="106" ht="22" customHeight="1">
      <x:c r="A106" s="8"/>
      <x:c r="B106" s="8"/>
      <x:c r="C106" s="8"/>
      <x:c r="D106" s="8"/>
      <x:c r="E106" s="7"/>
      <x:c r="F106" s="7"/>
      <x:c r="G106" s="7"/>
      <x:c r="H106" s="7"/>
      <x:c r="I106" s="7"/>
      <x:c r="J106" s="8"/>
      <x:c r="K106" s="7"/>
      <x:c r="L106" s="7"/>
      <x:c r="M106" s="7"/>
      <x:c r="N106" s="7"/>
      <x:c r="O106" s="7"/>
      <x:c r="P106" s="7"/>
      <x:c r="Q106" s="3" t="str">
        <x:f>IF(COUNTA(A106:P106)=0,"",IFERROR(IF(AND(A106&lt;&gt;"",COUNTIF($A$2:$A$201,A106)=1,OR(LEFT(B106,2)="V-",LEFT(B106,4)="SYN-"),LEN(MID(B106,IF(LEFT(B106,2)="V-",3,5),30))&gt;0,ISNUMBER(VALUE(MID(B106,IF(LEFT(B106,2)="V-",3,5),30))),VALUE(MID(B106,IF(LEFT(B106,2)="V-",3,5),30))&gt;=0,MOD(VALUE(MID(B106,IF(LEFT(B106,2)="V-",3,5),30)),1)=0,COUNTIFS(Slots!$A$2:$A$31,"E1",Slots!$B$2:$B$31,C106)=1,ISNUMBER(SEARCH("|"&amp;D106&amp;"|","|"&amp;Settings!$B$9&amp;"|")),OR(E106="regular",E106="first"),OR(F106="include",F106="duplicate",F106="late"),OR(H106="yes",H106="no"),OR(I106="success",I106="failed",I106="unknown",I106="not_sent"),OR(K106="yes",K106="no",K106="none",K106="conflict",K106="unknown"),OR(L106="text",L106="emoji",L106="voice",L106="none",L106="unknown"),OR(M106="yes",M106="no",M106="unknown"),OR(N106="yes",N106="no",N106="unknown"),ISNUMBER(O106),OR(O106=0,O106=1),OR(P106="",P106="soft_yes",P106="forgot",P106="time_place",P106="clash",P106="travel",P106="personal",P106="unknown",P106="silent_but_came"),OR(I106&lt;&gt;"success",AND(J106&lt;&gt;"",COUNTIFS($J$2:$J$201,J106,$I$2:$I$201,"success")=1)),OR(I106&lt;&gt;"not_sent",J106=""),IF(F106="duplicate",AND(COUNTIFS($A$2:$A$201,G106,$B$2:$B$201,B106,$C$2:$C$201,C106,$F$2:$F$201,"include")=1,H106="no",I106="not_sent",K106="none",M106="no",N106="no",O106=0),AND(G106="",N106&lt;&gt;"unknown",COUNTIFS($B$2:$B$201,B106,$F$2:$F$201,"&lt;&gt;duplicate")=1)),IF(F106="include",AND(H106="yes",K106&lt;&gt;"conflict",K106&lt;&gt;"unknown",M106&lt;&gt;"unknown",IF(OR(K106="yes",K106="no"),AND(M106="yes",OR(L106="text",L106="emoji",L106="voice")),L106="none")),TRUE),IF(F106="late",AND(H106="no",I106="not_sent",K106="none",L106="none",O106=0),TRUE)),"OK","CHECK"),"CHECK"))</x:f>
      </x:c>
      <x:c r="R106" s="3"/>
    </x:row>
    <x:row r="107" ht="22" customHeight="1">
      <x:c r="A107" s="8"/>
      <x:c r="B107" s="8"/>
      <x:c r="C107" s="8"/>
      <x:c r="D107" s="8"/>
      <x:c r="E107" s="7"/>
      <x:c r="F107" s="7"/>
      <x:c r="G107" s="7"/>
      <x:c r="H107" s="7"/>
      <x:c r="I107" s="7"/>
      <x:c r="J107" s="8"/>
      <x:c r="K107" s="7"/>
      <x:c r="L107" s="7"/>
      <x:c r="M107" s="7"/>
      <x:c r="N107" s="7"/>
      <x:c r="O107" s="7"/>
      <x:c r="P107" s="7"/>
      <x:c r="Q107" s="3" t="str">
        <x:f>IF(COUNTA(A107:P107)=0,"",IFERROR(IF(AND(A107&lt;&gt;"",COUNTIF($A$2:$A$201,A107)=1,OR(LEFT(B107,2)="V-",LEFT(B107,4)="SYN-"),LEN(MID(B107,IF(LEFT(B107,2)="V-",3,5),30))&gt;0,ISNUMBER(VALUE(MID(B107,IF(LEFT(B107,2)="V-",3,5),30))),VALUE(MID(B107,IF(LEFT(B107,2)="V-",3,5),30))&gt;=0,MOD(VALUE(MID(B107,IF(LEFT(B107,2)="V-",3,5),30)),1)=0,COUNTIFS(Slots!$A$2:$A$31,"E1",Slots!$B$2:$B$31,C107)=1,ISNUMBER(SEARCH("|"&amp;D107&amp;"|","|"&amp;Settings!$B$9&amp;"|")),OR(E107="regular",E107="first"),OR(F107="include",F107="duplicate",F107="late"),OR(H107="yes",H107="no"),OR(I107="success",I107="failed",I107="unknown",I107="not_sent"),OR(K107="yes",K107="no",K107="none",K107="conflict",K107="unknown"),OR(L107="text",L107="emoji",L107="voice",L107="none",L107="unknown"),OR(M107="yes",M107="no",M107="unknown"),OR(N107="yes",N107="no",N107="unknown"),ISNUMBER(O107),OR(O107=0,O107=1),OR(P107="",P107="soft_yes",P107="forgot",P107="time_place",P107="clash",P107="travel",P107="personal",P107="unknown",P107="silent_but_came"),OR(I107&lt;&gt;"success",AND(J107&lt;&gt;"",COUNTIFS($J$2:$J$201,J107,$I$2:$I$201,"success")=1)),OR(I107&lt;&gt;"not_sent",J107=""),IF(F107="duplicate",AND(COUNTIFS($A$2:$A$201,G107,$B$2:$B$201,B107,$C$2:$C$201,C107,$F$2:$F$201,"include")=1,H107="no",I107="not_sent",K107="none",M107="no",N107="no",O107=0),AND(G107="",N107&lt;&gt;"unknown",COUNTIFS($B$2:$B$201,B107,$F$2:$F$201,"&lt;&gt;duplicate")=1)),IF(F107="include",AND(H107="yes",K107&lt;&gt;"conflict",K107&lt;&gt;"unknown",M107&lt;&gt;"unknown",IF(OR(K107="yes",K107="no"),AND(M107="yes",OR(L107="text",L107="emoji",L107="voice")),L107="none")),TRUE),IF(F107="late",AND(H107="no",I107="not_sent",K107="none",L107="none",O107=0),TRUE)),"OK","CHECK"),"CHECK"))</x:f>
      </x:c>
      <x:c r="R107" s="3"/>
    </x:row>
    <x:row r="108" ht="22" customHeight="1">
      <x:c r="A108" s="8"/>
      <x:c r="B108" s="8"/>
      <x:c r="C108" s="8"/>
      <x:c r="D108" s="8"/>
      <x:c r="E108" s="7"/>
      <x:c r="F108" s="7"/>
      <x:c r="G108" s="7"/>
      <x:c r="H108" s="7"/>
      <x:c r="I108" s="7"/>
      <x:c r="J108" s="8"/>
      <x:c r="K108" s="7"/>
      <x:c r="L108" s="7"/>
      <x:c r="M108" s="7"/>
      <x:c r="N108" s="7"/>
      <x:c r="O108" s="7"/>
      <x:c r="P108" s="7"/>
      <x:c r="Q108" s="3" t="str">
        <x:f>IF(COUNTA(A108:P108)=0,"",IFERROR(IF(AND(A108&lt;&gt;"",COUNTIF($A$2:$A$201,A108)=1,OR(LEFT(B108,2)="V-",LEFT(B108,4)="SYN-"),LEN(MID(B108,IF(LEFT(B108,2)="V-",3,5),30))&gt;0,ISNUMBER(VALUE(MID(B108,IF(LEFT(B108,2)="V-",3,5),30))),VALUE(MID(B108,IF(LEFT(B108,2)="V-",3,5),30))&gt;=0,MOD(VALUE(MID(B108,IF(LEFT(B108,2)="V-",3,5),30)),1)=0,COUNTIFS(Slots!$A$2:$A$31,"E1",Slots!$B$2:$B$31,C108)=1,ISNUMBER(SEARCH("|"&amp;D108&amp;"|","|"&amp;Settings!$B$9&amp;"|")),OR(E108="regular",E108="first"),OR(F108="include",F108="duplicate",F108="late"),OR(H108="yes",H108="no"),OR(I108="success",I108="failed",I108="unknown",I108="not_sent"),OR(K108="yes",K108="no",K108="none",K108="conflict",K108="unknown"),OR(L108="text",L108="emoji",L108="voice",L108="none",L108="unknown"),OR(M108="yes",M108="no",M108="unknown"),OR(N108="yes",N108="no",N108="unknown"),ISNUMBER(O108),OR(O108=0,O108=1),OR(P108="",P108="soft_yes",P108="forgot",P108="time_place",P108="clash",P108="travel",P108="personal",P108="unknown",P108="silent_but_came"),OR(I108&lt;&gt;"success",AND(J108&lt;&gt;"",COUNTIFS($J$2:$J$201,J108,$I$2:$I$201,"success")=1)),OR(I108&lt;&gt;"not_sent",J108=""),IF(F108="duplicate",AND(COUNTIFS($A$2:$A$201,G108,$B$2:$B$201,B108,$C$2:$C$201,C108,$F$2:$F$201,"include")=1,H108="no",I108="not_sent",K108="none",M108="no",N108="no",O108=0),AND(G108="",N108&lt;&gt;"unknown",COUNTIFS($B$2:$B$201,B108,$F$2:$F$201,"&lt;&gt;duplicate")=1)),IF(F108="include",AND(H108="yes",K108&lt;&gt;"conflict",K108&lt;&gt;"unknown",M108&lt;&gt;"unknown",IF(OR(K108="yes",K108="no"),AND(M108="yes",OR(L108="text",L108="emoji",L108="voice")),L108="none")),TRUE),IF(F108="late",AND(H108="no",I108="not_sent",K108="none",L108="none",O108=0),TRUE)),"OK","CHECK"),"CHECK"))</x:f>
      </x:c>
      <x:c r="R108" s="3"/>
    </x:row>
    <x:row r="109" ht="22" customHeight="1">
      <x:c r="A109" s="8"/>
      <x:c r="B109" s="8"/>
      <x:c r="C109" s="8"/>
      <x:c r="D109" s="8"/>
      <x:c r="E109" s="7"/>
      <x:c r="F109" s="7"/>
      <x:c r="G109" s="7"/>
      <x:c r="H109" s="7"/>
      <x:c r="I109" s="7"/>
      <x:c r="J109" s="8"/>
      <x:c r="K109" s="7"/>
      <x:c r="L109" s="7"/>
      <x:c r="M109" s="7"/>
      <x:c r="N109" s="7"/>
      <x:c r="O109" s="7"/>
      <x:c r="P109" s="7"/>
      <x:c r="Q109" s="3" t="str">
        <x:f>IF(COUNTA(A109:P109)=0,"",IFERROR(IF(AND(A109&lt;&gt;"",COUNTIF($A$2:$A$201,A109)=1,OR(LEFT(B109,2)="V-",LEFT(B109,4)="SYN-"),LEN(MID(B109,IF(LEFT(B109,2)="V-",3,5),30))&gt;0,ISNUMBER(VALUE(MID(B109,IF(LEFT(B109,2)="V-",3,5),30))),VALUE(MID(B109,IF(LEFT(B109,2)="V-",3,5),30))&gt;=0,MOD(VALUE(MID(B109,IF(LEFT(B109,2)="V-",3,5),30)),1)=0,COUNTIFS(Slots!$A$2:$A$31,"E1",Slots!$B$2:$B$31,C109)=1,ISNUMBER(SEARCH("|"&amp;D109&amp;"|","|"&amp;Settings!$B$9&amp;"|")),OR(E109="regular",E109="first"),OR(F109="include",F109="duplicate",F109="late"),OR(H109="yes",H109="no"),OR(I109="success",I109="failed",I109="unknown",I109="not_sent"),OR(K109="yes",K109="no",K109="none",K109="conflict",K109="unknown"),OR(L109="text",L109="emoji",L109="voice",L109="none",L109="unknown"),OR(M109="yes",M109="no",M109="unknown"),OR(N109="yes",N109="no",N109="unknown"),ISNUMBER(O109),OR(O109=0,O109=1),OR(P109="",P109="soft_yes",P109="forgot",P109="time_place",P109="clash",P109="travel",P109="personal",P109="unknown",P109="silent_but_came"),OR(I109&lt;&gt;"success",AND(J109&lt;&gt;"",COUNTIFS($J$2:$J$201,J109,$I$2:$I$201,"success")=1)),OR(I109&lt;&gt;"not_sent",J109=""),IF(F109="duplicate",AND(COUNTIFS($A$2:$A$201,G109,$B$2:$B$201,B109,$C$2:$C$201,C109,$F$2:$F$201,"include")=1,H109="no",I109="not_sent",K109="none",M109="no",N109="no",O109=0),AND(G109="",N109&lt;&gt;"unknown",COUNTIFS($B$2:$B$201,B109,$F$2:$F$201,"&lt;&gt;duplicate")=1)),IF(F109="include",AND(H109="yes",K109&lt;&gt;"conflict",K109&lt;&gt;"unknown",M109&lt;&gt;"unknown",IF(OR(K109="yes",K109="no"),AND(M109="yes",OR(L109="text",L109="emoji",L109="voice")),L109="none")),TRUE),IF(F109="late",AND(H109="no",I109="not_sent",K109="none",L109="none",O109=0),TRUE)),"OK","CHECK"),"CHECK"))</x:f>
      </x:c>
      <x:c r="R109" s="3"/>
    </x:row>
    <x:row r="110" ht="22" customHeight="1">
      <x:c r="A110" s="8"/>
      <x:c r="B110" s="8"/>
      <x:c r="C110" s="8"/>
      <x:c r="D110" s="8"/>
      <x:c r="E110" s="7"/>
      <x:c r="F110" s="7"/>
      <x:c r="G110" s="7"/>
      <x:c r="H110" s="7"/>
      <x:c r="I110" s="7"/>
      <x:c r="J110" s="8"/>
      <x:c r="K110" s="7"/>
      <x:c r="L110" s="7"/>
      <x:c r="M110" s="7"/>
      <x:c r="N110" s="7"/>
      <x:c r="O110" s="7"/>
      <x:c r="P110" s="7"/>
      <x:c r="Q110" s="3" t="str">
        <x:f>IF(COUNTA(A110:P110)=0,"",IFERROR(IF(AND(A110&lt;&gt;"",COUNTIF($A$2:$A$201,A110)=1,OR(LEFT(B110,2)="V-",LEFT(B110,4)="SYN-"),LEN(MID(B110,IF(LEFT(B110,2)="V-",3,5),30))&gt;0,ISNUMBER(VALUE(MID(B110,IF(LEFT(B110,2)="V-",3,5),30))),VALUE(MID(B110,IF(LEFT(B110,2)="V-",3,5),30))&gt;=0,MOD(VALUE(MID(B110,IF(LEFT(B110,2)="V-",3,5),30)),1)=0,COUNTIFS(Slots!$A$2:$A$31,"E1",Slots!$B$2:$B$31,C110)=1,ISNUMBER(SEARCH("|"&amp;D110&amp;"|","|"&amp;Settings!$B$9&amp;"|")),OR(E110="regular",E110="first"),OR(F110="include",F110="duplicate",F110="late"),OR(H110="yes",H110="no"),OR(I110="success",I110="failed",I110="unknown",I110="not_sent"),OR(K110="yes",K110="no",K110="none",K110="conflict",K110="unknown"),OR(L110="text",L110="emoji",L110="voice",L110="none",L110="unknown"),OR(M110="yes",M110="no",M110="unknown"),OR(N110="yes",N110="no",N110="unknown"),ISNUMBER(O110),OR(O110=0,O110=1),OR(P110="",P110="soft_yes",P110="forgot",P110="time_place",P110="clash",P110="travel",P110="personal",P110="unknown",P110="silent_but_came"),OR(I110&lt;&gt;"success",AND(J110&lt;&gt;"",COUNTIFS($J$2:$J$201,J110,$I$2:$I$201,"success")=1)),OR(I110&lt;&gt;"not_sent",J110=""),IF(F110="duplicate",AND(COUNTIFS($A$2:$A$201,G110,$B$2:$B$201,B110,$C$2:$C$201,C110,$F$2:$F$201,"include")=1,H110="no",I110="not_sent",K110="none",M110="no",N110="no",O110=0),AND(G110="",N110&lt;&gt;"unknown",COUNTIFS($B$2:$B$201,B110,$F$2:$F$201,"&lt;&gt;duplicate")=1)),IF(F110="include",AND(H110="yes",K110&lt;&gt;"conflict",K110&lt;&gt;"unknown",M110&lt;&gt;"unknown",IF(OR(K110="yes",K110="no"),AND(M110="yes",OR(L110="text",L110="emoji",L110="voice")),L110="none")),TRUE),IF(F110="late",AND(H110="no",I110="not_sent",K110="none",L110="none",O110=0),TRUE)),"OK","CHECK"),"CHECK"))</x:f>
      </x:c>
      <x:c r="R110" s="3"/>
    </x:row>
    <x:row r="111" ht="22" customHeight="1">
      <x:c r="A111" s="8"/>
      <x:c r="B111" s="8"/>
      <x:c r="C111" s="8"/>
      <x:c r="D111" s="8"/>
      <x:c r="E111" s="7"/>
      <x:c r="F111" s="7"/>
      <x:c r="G111" s="7"/>
      <x:c r="H111" s="7"/>
      <x:c r="I111" s="7"/>
      <x:c r="J111" s="8"/>
      <x:c r="K111" s="7"/>
      <x:c r="L111" s="7"/>
      <x:c r="M111" s="7"/>
      <x:c r="N111" s="7"/>
      <x:c r="O111" s="7"/>
      <x:c r="P111" s="7"/>
      <x:c r="Q111" s="3" t="str">
        <x:f>IF(COUNTA(A111:P111)=0,"",IFERROR(IF(AND(A111&lt;&gt;"",COUNTIF($A$2:$A$201,A111)=1,OR(LEFT(B111,2)="V-",LEFT(B111,4)="SYN-"),LEN(MID(B111,IF(LEFT(B111,2)="V-",3,5),30))&gt;0,ISNUMBER(VALUE(MID(B111,IF(LEFT(B111,2)="V-",3,5),30))),VALUE(MID(B111,IF(LEFT(B111,2)="V-",3,5),30))&gt;=0,MOD(VALUE(MID(B111,IF(LEFT(B111,2)="V-",3,5),30)),1)=0,COUNTIFS(Slots!$A$2:$A$31,"E1",Slots!$B$2:$B$31,C111)=1,ISNUMBER(SEARCH("|"&amp;D111&amp;"|","|"&amp;Settings!$B$9&amp;"|")),OR(E111="regular",E111="first"),OR(F111="include",F111="duplicate",F111="late"),OR(H111="yes",H111="no"),OR(I111="success",I111="failed",I111="unknown",I111="not_sent"),OR(K111="yes",K111="no",K111="none",K111="conflict",K111="unknown"),OR(L111="text",L111="emoji",L111="voice",L111="none",L111="unknown"),OR(M111="yes",M111="no",M111="unknown"),OR(N111="yes",N111="no",N111="unknown"),ISNUMBER(O111),OR(O111=0,O111=1),OR(P111="",P111="soft_yes",P111="forgot",P111="time_place",P111="clash",P111="travel",P111="personal",P111="unknown",P111="silent_but_came"),OR(I111&lt;&gt;"success",AND(J111&lt;&gt;"",COUNTIFS($J$2:$J$201,J111,$I$2:$I$201,"success")=1)),OR(I111&lt;&gt;"not_sent",J111=""),IF(F111="duplicate",AND(COUNTIFS($A$2:$A$201,G111,$B$2:$B$201,B111,$C$2:$C$201,C111,$F$2:$F$201,"include")=1,H111="no",I111="not_sent",K111="none",M111="no",N111="no",O111=0),AND(G111="",N111&lt;&gt;"unknown",COUNTIFS($B$2:$B$201,B111,$F$2:$F$201,"&lt;&gt;duplicate")=1)),IF(F111="include",AND(H111="yes",K111&lt;&gt;"conflict",K111&lt;&gt;"unknown",M111&lt;&gt;"unknown",IF(OR(K111="yes",K111="no"),AND(M111="yes",OR(L111="text",L111="emoji",L111="voice")),L111="none")),TRUE),IF(F111="late",AND(H111="no",I111="not_sent",K111="none",L111="none",O111=0),TRUE)),"OK","CHECK"),"CHECK"))</x:f>
      </x:c>
      <x:c r="R111" s="3"/>
    </x:row>
    <x:row r="112" ht="22" customHeight="1">
      <x:c r="A112" s="8"/>
      <x:c r="B112" s="8"/>
      <x:c r="C112" s="8"/>
      <x:c r="D112" s="8"/>
      <x:c r="E112" s="7"/>
      <x:c r="F112" s="7"/>
      <x:c r="G112" s="7"/>
      <x:c r="H112" s="7"/>
      <x:c r="I112" s="7"/>
      <x:c r="J112" s="8"/>
      <x:c r="K112" s="7"/>
      <x:c r="L112" s="7"/>
      <x:c r="M112" s="7"/>
      <x:c r="N112" s="7"/>
      <x:c r="O112" s="7"/>
      <x:c r="P112" s="7"/>
      <x:c r="Q112" s="3" t="str">
        <x:f>IF(COUNTA(A112:P112)=0,"",IFERROR(IF(AND(A112&lt;&gt;"",COUNTIF($A$2:$A$201,A112)=1,OR(LEFT(B112,2)="V-",LEFT(B112,4)="SYN-"),LEN(MID(B112,IF(LEFT(B112,2)="V-",3,5),30))&gt;0,ISNUMBER(VALUE(MID(B112,IF(LEFT(B112,2)="V-",3,5),30))),VALUE(MID(B112,IF(LEFT(B112,2)="V-",3,5),30))&gt;=0,MOD(VALUE(MID(B112,IF(LEFT(B112,2)="V-",3,5),30)),1)=0,COUNTIFS(Slots!$A$2:$A$31,"E1",Slots!$B$2:$B$31,C112)=1,ISNUMBER(SEARCH("|"&amp;D112&amp;"|","|"&amp;Settings!$B$9&amp;"|")),OR(E112="regular",E112="first"),OR(F112="include",F112="duplicate",F112="late"),OR(H112="yes",H112="no"),OR(I112="success",I112="failed",I112="unknown",I112="not_sent"),OR(K112="yes",K112="no",K112="none",K112="conflict",K112="unknown"),OR(L112="text",L112="emoji",L112="voice",L112="none",L112="unknown"),OR(M112="yes",M112="no",M112="unknown"),OR(N112="yes",N112="no",N112="unknown"),ISNUMBER(O112),OR(O112=0,O112=1),OR(P112="",P112="soft_yes",P112="forgot",P112="time_place",P112="clash",P112="travel",P112="personal",P112="unknown",P112="silent_but_came"),OR(I112&lt;&gt;"success",AND(J112&lt;&gt;"",COUNTIFS($J$2:$J$201,J112,$I$2:$I$201,"success")=1)),OR(I112&lt;&gt;"not_sent",J112=""),IF(F112="duplicate",AND(COUNTIFS($A$2:$A$201,G112,$B$2:$B$201,B112,$C$2:$C$201,C112,$F$2:$F$201,"include")=1,H112="no",I112="not_sent",K112="none",M112="no",N112="no",O112=0),AND(G112="",N112&lt;&gt;"unknown",COUNTIFS($B$2:$B$201,B112,$F$2:$F$201,"&lt;&gt;duplicate")=1)),IF(F112="include",AND(H112="yes",K112&lt;&gt;"conflict",K112&lt;&gt;"unknown",M112&lt;&gt;"unknown",IF(OR(K112="yes",K112="no"),AND(M112="yes",OR(L112="text",L112="emoji",L112="voice")),L112="none")),TRUE),IF(F112="late",AND(H112="no",I112="not_sent",K112="none",L112="none",O112=0),TRUE)),"OK","CHECK"),"CHECK"))</x:f>
      </x:c>
      <x:c r="R112" s="3"/>
    </x:row>
    <x:row r="113" ht="22" customHeight="1">
      <x:c r="A113" s="8"/>
      <x:c r="B113" s="8"/>
      <x:c r="C113" s="8"/>
      <x:c r="D113" s="8"/>
      <x:c r="E113" s="7"/>
      <x:c r="F113" s="7"/>
      <x:c r="G113" s="7"/>
      <x:c r="H113" s="7"/>
      <x:c r="I113" s="7"/>
      <x:c r="J113" s="8"/>
      <x:c r="K113" s="7"/>
      <x:c r="L113" s="7"/>
      <x:c r="M113" s="7"/>
      <x:c r="N113" s="7"/>
      <x:c r="O113" s="7"/>
      <x:c r="P113" s="7"/>
      <x:c r="Q113" s="3" t="str">
        <x:f>IF(COUNTA(A113:P113)=0,"",IFERROR(IF(AND(A113&lt;&gt;"",COUNTIF($A$2:$A$201,A113)=1,OR(LEFT(B113,2)="V-",LEFT(B113,4)="SYN-"),LEN(MID(B113,IF(LEFT(B113,2)="V-",3,5),30))&gt;0,ISNUMBER(VALUE(MID(B113,IF(LEFT(B113,2)="V-",3,5),30))),VALUE(MID(B113,IF(LEFT(B113,2)="V-",3,5),30))&gt;=0,MOD(VALUE(MID(B113,IF(LEFT(B113,2)="V-",3,5),30)),1)=0,COUNTIFS(Slots!$A$2:$A$31,"E1",Slots!$B$2:$B$31,C113)=1,ISNUMBER(SEARCH("|"&amp;D113&amp;"|","|"&amp;Settings!$B$9&amp;"|")),OR(E113="regular",E113="first"),OR(F113="include",F113="duplicate",F113="late"),OR(H113="yes",H113="no"),OR(I113="success",I113="failed",I113="unknown",I113="not_sent"),OR(K113="yes",K113="no",K113="none",K113="conflict",K113="unknown"),OR(L113="text",L113="emoji",L113="voice",L113="none",L113="unknown"),OR(M113="yes",M113="no",M113="unknown"),OR(N113="yes",N113="no",N113="unknown"),ISNUMBER(O113),OR(O113=0,O113=1),OR(P113="",P113="soft_yes",P113="forgot",P113="time_place",P113="clash",P113="travel",P113="personal",P113="unknown",P113="silent_but_came"),OR(I113&lt;&gt;"success",AND(J113&lt;&gt;"",COUNTIFS($J$2:$J$201,J113,$I$2:$I$201,"success")=1)),OR(I113&lt;&gt;"not_sent",J113=""),IF(F113="duplicate",AND(COUNTIFS($A$2:$A$201,G113,$B$2:$B$201,B113,$C$2:$C$201,C113,$F$2:$F$201,"include")=1,H113="no",I113="not_sent",K113="none",M113="no",N113="no",O113=0),AND(G113="",N113&lt;&gt;"unknown",COUNTIFS($B$2:$B$201,B113,$F$2:$F$201,"&lt;&gt;duplicate")=1)),IF(F113="include",AND(H113="yes",K113&lt;&gt;"conflict",K113&lt;&gt;"unknown",M113&lt;&gt;"unknown",IF(OR(K113="yes",K113="no"),AND(M113="yes",OR(L113="text",L113="emoji",L113="voice")),L113="none")),TRUE),IF(F113="late",AND(H113="no",I113="not_sent",K113="none",L113="none",O113=0),TRUE)),"OK","CHECK"),"CHECK"))</x:f>
      </x:c>
      <x:c r="R113" s="3"/>
    </x:row>
    <x:row r="114" ht="22" customHeight="1">
      <x:c r="A114" s="8"/>
      <x:c r="B114" s="8"/>
      <x:c r="C114" s="8"/>
      <x:c r="D114" s="8"/>
      <x:c r="E114" s="7"/>
      <x:c r="F114" s="7"/>
      <x:c r="G114" s="7"/>
      <x:c r="H114" s="7"/>
      <x:c r="I114" s="7"/>
      <x:c r="J114" s="8"/>
      <x:c r="K114" s="7"/>
      <x:c r="L114" s="7"/>
      <x:c r="M114" s="7"/>
      <x:c r="N114" s="7"/>
      <x:c r="O114" s="7"/>
      <x:c r="P114" s="7"/>
      <x:c r="Q114" s="3" t="str">
        <x:f>IF(COUNTA(A114:P114)=0,"",IFERROR(IF(AND(A114&lt;&gt;"",COUNTIF($A$2:$A$201,A114)=1,OR(LEFT(B114,2)="V-",LEFT(B114,4)="SYN-"),LEN(MID(B114,IF(LEFT(B114,2)="V-",3,5),30))&gt;0,ISNUMBER(VALUE(MID(B114,IF(LEFT(B114,2)="V-",3,5),30))),VALUE(MID(B114,IF(LEFT(B114,2)="V-",3,5),30))&gt;=0,MOD(VALUE(MID(B114,IF(LEFT(B114,2)="V-",3,5),30)),1)=0,COUNTIFS(Slots!$A$2:$A$31,"E1",Slots!$B$2:$B$31,C114)=1,ISNUMBER(SEARCH("|"&amp;D114&amp;"|","|"&amp;Settings!$B$9&amp;"|")),OR(E114="regular",E114="first"),OR(F114="include",F114="duplicate",F114="late"),OR(H114="yes",H114="no"),OR(I114="success",I114="failed",I114="unknown",I114="not_sent"),OR(K114="yes",K114="no",K114="none",K114="conflict",K114="unknown"),OR(L114="text",L114="emoji",L114="voice",L114="none",L114="unknown"),OR(M114="yes",M114="no",M114="unknown"),OR(N114="yes",N114="no",N114="unknown"),ISNUMBER(O114),OR(O114=0,O114=1),OR(P114="",P114="soft_yes",P114="forgot",P114="time_place",P114="clash",P114="travel",P114="personal",P114="unknown",P114="silent_but_came"),OR(I114&lt;&gt;"success",AND(J114&lt;&gt;"",COUNTIFS($J$2:$J$201,J114,$I$2:$I$201,"success")=1)),OR(I114&lt;&gt;"not_sent",J114=""),IF(F114="duplicate",AND(COUNTIFS($A$2:$A$201,G114,$B$2:$B$201,B114,$C$2:$C$201,C114,$F$2:$F$201,"include")=1,H114="no",I114="not_sent",K114="none",M114="no",N114="no",O114=0),AND(G114="",N114&lt;&gt;"unknown",COUNTIFS($B$2:$B$201,B114,$F$2:$F$201,"&lt;&gt;duplicate")=1)),IF(F114="include",AND(H114="yes",K114&lt;&gt;"conflict",K114&lt;&gt;"unknown",M114&lt;&gt;"unknown",IF(OR(K114="yes",K114="no"),AND(M114="yes",OR(L114="text",L114="emoji",L114="voice")),L114="none")),TRUE),IF(F114="late",AND(H114="no",I114="not_sent",K114="none",L114="none",O114=0),TRUE)),"OK","CHECK"),"CHECK"))</x:f>
      </x:c>
      <x:c r="R114" s="3"/>
    </x:row>
    <x:row r="115" ht="22" customHeight="1">
      <x:c r="A115" s="8"/>
      <x:c r="B115" s="8"/>
      <x:c r="C115" s="8"/>
      <x:c r="D115" s="8"/>
      <x:c r="E115" s="7"/>
      <x:c r="F115" s="7"/>
      <x:c r="G115" s="7"/>
      <x:c r="H115" s="7"/>
      <x:c r="I115" s="7"/>
      <x:c r="J115" s="8"/>
      <x:c r="K115" s="7"/>
      <x:c r="L115" s="7"/>
      <x:c r="M115" s="7"/>
      <x:c r="N115" s="7"/>
      <x:c r="O115" s="7"/>
      <x:c r="P115" s="7"/>
      <x:c r="Q115" s="3" t="str">
        <x:f>IF(COUNTA(A115:P115)=0,"",IFERROR(IF(AND(A115&lt;&gt;"",COUNTIF($A$2:$A$201,A115)=1,OR(LEFT(B115,2)="V-",LEFT(B115,4)="SYN-"),LEN(MID(B115,IF(LEFT(B115,2)="V-",3,5),30))&gt;0,ISNUMBER(VALUE(MID(B115,IF(LEFT(B115,2)="V-",3,5),30))),VALUE(MID(B115,IF(LEFT(B115,2)="V-",3,5),30))&gt;=0,MOD(VALUE(MID(B115,IF(LEFT(B115,2)="V-",3,5),30)),1)=0,COUNTIFS(Slots!$A$2:$A$31,"E1",Slots!$B$2:$B$31,C115)=1,ISNUMBER(SEARCH("|"&amp;D115&amp;"|","|"&amp;Settings!$B$9&amp;"|")),OR(E115="regular",E115="first"),OR(F115="include",F115="duplicate",F115="late"),OR(H115="yes",H115="no"),OR(I115="success",I115="failed",I115="unknown",I115="not_sent"),OR(K115="yes",K115="no",K115="none",K115="conflict",K115="unknown"),OR(L115="text",L115="emoji",L115="voice",L115="none",L115="unknown"),OR(M115="yes",M115="no",M115="unknown"),OR(N115="yes",N115="no",N115="unknown"),ISNUMBER(O115),OR(O115=0,O115=1),OR(P115="",P115="soft_yes",P115="forgot",P115="time_place",P115="clash",P115="travel",P115="personal",P115="unknown",P115="silent_but_came"),OR(I115&lt;&gt;"success",AND(J115&lt;&gt;"",COUNTIFS($J$2:$J$201,J115,$I$2:$I$201,"success")=1)),OR(I115&lt;&gt;"not_sent",J115=""),IF(F115="duplicate",AND(COUNTIFS($A$2:$A$201,G115,$B$2:$B$201,B115,$C$2:$C$201,C115,$F$2:$F$201,"include")=1,H115="no",I115="not_sent",K115="none",M115="no",N115="no",O115=0),AND(G115="",N115&lt;&gt;"unknown",COUNTIFS($B$2:$B$201,B115,$F$2:$F$201,"&lt;&gt;duplicate")=1)),IF(F115="include",AND(H115="yes",K115&lt;&gt;"conflict",K115&lt;&gt;"unknown",M115&lt;&gt;"unknown",IF(OR(K115="yes",K115="no"),AND(M115="yes",OR(L115="text",L115="emoji",L115="voice")),L115="none")),TRUE),IF(F115="late",AND(H115="no",I115="not_sent",K115="none",L115="none",O115=0),TRUE)),"OK","CHECK"),"CHECK"))</x:f>
      </x:c>
      <x:c r="R115" s="3"/>
    </x:row>
    <x:row r="116" ht="22" customHeight="1">
      <x:c r="A116" s="8"/>
      <x:c r="B116" s="8"/>
      <x:c r="C116" s="8"/>
      <x:c r="D116" s="8"/>
      <x:c r="E116" s="7"/>
      <x:c r="F116" s="7"/>
      <x:c r="G116" s="7"/>
      <x:c r="H116" s="7"/>
      <x:c r="I116" s="7"/>
      <x:c r="J116" s="8"/>
      <x:c r="K116" s="7"/>
      <x:c r="L116" s="7"/>
      <x:c r="M116" s="7"/>
      <x:c r="N116" s="7"/>
      <x:c r="O116" s="7"/>
      <x:c r="P116" s="7"/>
      <x:c r="Q116" s="3" t="str">
        <x:f>IF(COUNTA(A116:P116)=0,"",IFERROR(IF(AND(A116&lt;&gt;"",COUNTIF($A$2:$A$201,A116)=1,OR(LEFT(B116,2)="V-",LEFT(B116,4)="SYN-"),LEN(MID(B116,IF(LEFT(B116,2)="V-",3,5),30))&gt;0,ISNUMBER(VALUE(MID(B116,IF(LEFT(B116,2)="V-",3,5),30))),VALUE(MID(B116,IF(LEFT(B116,2)="V-",3,5),30))&gt;=0,MOD(VALUE(MID(B116,IF(LEFT(B116,2)="V-",3,5),30)),1)=0,COUNTIFS(Slots!$A$2:$A$31,"E1",Slots!$B$2:$B$31,C116)=1,ISNUMBER(SEARCH("|"&amp;D116&amp;"|","|"&amp;Settings!$B$9&amp;"|")),OR(E116="regular",E116="first"),OR(F116="include",F116="duplicate",F116="late"),OR(H116="yes",H116="no"),OR(I116="success",I116="failed",I116="unknown",I116="not_sent"),OR(K116="yes",K116="no",K116="none",K116="conflict",K116="unknown"),OR(L116="text",L116="emoji",L116="voice",L116="none",L116="unknown"),OR(M116="yes",M116="no",M116="unknown"),OR(N116="yes",N116="no",N116="unknown"),ISNUMBER(O116),OR(O116=0,O116=1),OR(P116="",P116="soft_yes",P116="forgot",P116="time_place",P116="clash",P116="travel",P116="personal",P116="unknown",P116="silent_but_came"),OR(I116&lt;&gt;"success",AND(J116&lt;&gt;"",COUNTIFS($J$2:$J$201,J116,$I$2:$I$201,"success")=1)),OR(I116&lt;&gt;"not_sent",J116=""),IF(F116="duplicate",AND(COUNTIFS($A$2:$A$201,G116,$B$2:$B$201,B116,$C$2:$C$201,C116,$F$2:$F$201,"include")=1,H116="no",I116="not_sent",K116="none",M116="no",N116="no",O116=0),AND(G116="",N116&lt;&gt;"unknown",COUNTIFS($B$2:$B$201,B116,$F$2:$F$201,"&lt;&gt;duplicate")=1)),IF(F116="include",AND(H116="yes",K116&lt;&gt;"conflict",K116&lt;&gt;"unknown",M116&lt;&gt;"unknown",IF(OR(K116="yes",K116="no"),AND(M116="yes",OR(L116="text",L116="emoji",L116="voice")),L116="none")),TRUE),IF(F116="late",AND(H116="no",I116="not_sent",K116="none",L116="none",O116=0),TRUE)),"OK","CHECK"),"CHECK"))</x:f>
      </x:c>
      <x:c r="R116" s="3"/>
    </x:row>
    <x:row r="117" ht="22" customHeight="1">
      <x:c r="A117" s="8"/>
      <x:c r="B117" s="8"/>
      <x:c r="C117" s="8"/>
      <x:c r="D117" s="8"/>
      <x:c r="E117" s="7"/>
      <x:c r="F117" s="7"/>
      <x:c r="G117" s="7"/>
      <x:c r="H117" s="7"/>
      <x:c r="I117" s="7"/>
      <x:c r="J117" s="8"/>
      <x:c r="K117" s="7"/>
      <x:c r="L117" s="7"/>
      <x:c r="M117" s="7"/>
      <x:c r="N117" s="7"/>
      <x:c r="O117" s="7"/>
      <x:c r="P117" s="7"/>
      <x:c r="Q117" s="3" t="str">
        <x:f>IF(COUNTA(A117:P117)=0,"",IFERROR(IF(AND(A117&lt;&gt;"",COUNTIF($A$2:$A$201,A117)=1,OR(LEFT(B117,2)="V-",LEFT(B117,4)="SYN-"),LEN(MID(B117,IF(LEFT(B117,2)="V-",3,5),30))&gt;0,ISNUMBER(VALUE(MID(B117,IF(LEFT(B117,2)="V-",3,5),30))),VALUE(MID(B117,IF(LEFT(B117,2)="V-",3,5),30))&gt;=0,MOD(VALUE(MID(B117,IF(LEFT(B117,2)="V-",3,5),30)),1)=0,COUNTIFS(Slots!$A$2:$A$31,"E1",Slots!$B$2:$B$31,C117)=1,ISNUMBER(SEARCH("|"&amp;D117&amp;"|","|"&amp;Settings!$B$9&amp;"|")),OR(E117="regular",E117="first"),OR(F117="include",F117="duplicate",F117="late"),OR(H117="yes",H117="no"),OR(I117="success",I117="failed",I117="unknown",I117="not_sent"),OR(K117="yes",K117="no",K117="none",K117="conflict",K117="unknown"),OR(L117="text",L117="emoji",L117="voice",L117="none",L117="unknown"),OR(M117="yes",M117="no",M117="unknown"),OR(N117="yes",N117="no",N117="unknown"),ISNUMBER(O117),OR(O117=0,O117=1),OR(P117="",P117="soft_yes",P117="forgot",P117="time_place",P117="clash",P117="travel",P117="personal",P117="unknown",P117="silent_but_came"),OR(I117&lt;&gt;"success",AND(J117&lt;&gt;"",COUNTIFS($J$2:$J$201,J117,$I$2:$I$201,"success")=1)),OR(I117&lt;&gt;"not_sent",J117=""),IF(F117="duplicate",AND(COUNTIFS($A$2:$A$201,G117,$B$2:$B$201,B117,$C$2:$C$201,C117,$F$2:$F$201,"include")=1,H117="no",I117="not_sent",K117="none",M117="no",N117="no",O117=0),AND(G117="",N117&lt;&gt;"unknown",COUNTIFS($B$2:$B$201,B117,$F$2:$F$201,"&lt;&gt;duplicate")=1)),IF(F117="include",AND(H117="yes",K117&lt;&gt;"conflict",K117&lt;&gt;"unknown",M117&lt;&gt;"unknown",IF(OR(K117="yes",K117="no"),AND(M117="yes",OR(L117="text",L117="emoji",L117="voice")),L117="none")),TRUE),IF(F117="late",AND(H117="no",I117="not_sent",K117="none",L117="none",O117=0),TRUE)),"OK","CHECK"),"CHECK"))</x:f>
      </x:c>
      <x:c r="R117" s="3"/>
    </x:row>
    <x:row r="118" ht="22" customHeight="1">
      <x:c r="A118" s="8"/>
      <x:c r="B118" s="8"/>
      <x:c r="C118" s="8"/>
      <x:c r="D118" s="8"/>
      <x:c r="E118" s="7"/>
      <x:c r="F118" s="7"/>
      <x:c r="G118" s="7"/>
      <x:c r="H118" s="7"/>
      <x:c r="I118" s="7"/>
      <x:c r="J118" s="8"/>
      <x:c r="K118" s="7"/>
      <x:c r="L118" s="7"/>
      <x:c r="M118" s="7"/>
      <x:c r="N118" s="7"/>
      <x:c r="O118" s="7"/>
      <x:c r="P118" s="7"/>
      <x:c r="Q118" s="3" t="str">
        <x:f>IF(COUNTA(A118:P118)=0,"",IFERROR(IF(AND(A118&lt;&gt;"",COUNTIF($A$2:$A$201,A118)=1,OR(LEFT(B118,2)="V-",LEFT(B118,4)="SYN-"),LEN(MID(B118,IF(LEFT(B118,2)="V-",3,5),30))&gt;0,ISNUMBER(VALUE(MID(B118,IF(LEFT(B118,2)="V-",3,5),30))),VALUE(MID(B118,IF(LEFT(B118,2)="V-",3,5),30))&gt;=0,MOD(VALUE(MID(B118,IF(LEFT(B118,2)="V-",3,5),30)),1)=0,COUNTIFS(Slots!$A$2:$A$31,"E1",Slots!$B$2:$B$31,C118)=1,ISNUMBER(SEARCH("|"&amp;D118&amp;"|","|"&amp;Settings!$B$9&amp;"|")),OR(E118="regular",E118="first"),OR(F118="include",F118="duplicate",F118="late"),OR(H118="yes",H118="no"),OR(I118="success",I118="failed",I118="unknown",I118="not_sent"),OR(K118="yes",K118="no",K118="none",K118="conflict",K118="unknown"),OR(L118="text",L118="emoji",L118="voice",L118="none",L118="unknown"),OR(M118="yes",M118="no",M118="unknown"),OR(N118="yes",N118="no",N118="unknown"),ISNUMBER(O118),OR(O118=0,O118=1),OR(P118="",P118="soft_yes",P118="forgot",P118="time_place",P118="clash",P118="travel",P118="personal",P118="unknown",P118="silent_but_came"),OR(I118&lt;&gt;"success",AND(J118&lt;&gt;"",COUNTIFS($J$2:$J$201,J118,$I$2:$I$201,"success")=1)),OR(I118&lt;&gt;"not_sent",J118=""),IF(F118="duplicate",AND(COUNTIFS($A$2:$A$201,G118,$B$2:$B$201,B118,$C$2:$C$201,C118,$F$2:$F$201,"include")=1,H118="no",I118="not_sent",K118="none",M118="no",N118="no",O118=0),AND(G118="",N118&lt;&gt;"unknown",COUNTIFS($B$2:$B$201,B118,$F$2:$F$201,"&lt;&gt;duplicate")=1)),IF(F118="include",AND(H118="yes",K118&lt;&gt;"conflict",K118&lt;&gt;"unknown",M118&lt;&gt;"unknown",IF(OR(K118="yes",K118="no"),AND(M118="yes",OR(L118="text",L118="emoji",L118="voice")),L118="none")),TRUE),IF(F118="late",AND(H118="no",I118="not_sent",K118="none",L118="none",O118=0),TRUE)),"OK","CHECK"),"CHECK"))</x:f>
      </x:c>
      <x:c r="R118" s="3"/>
    </x:row>
    <x:row r="119" ht="22" customHeight="1">
      <x:c r="A119" s="8"/>
      <x:c r="B119" s="8"/>
      <x:c r="C119" s="8"/>
      <x:c r="D119" s="8"/>
      <x:c r="E119" s="7"/>
      <x:c r="F119" s="7"/>
      <x:c r="G119" s="7"/>
      <x:c r="H119" s="7"/>
      <x:c r="I119" s="7"/>
      <x:c r="J119" s="8"/>
      <x:c r="K119" s="7"/>
      <x:c r="L119" s="7"/>
      <x:c r="M119" s="7"/>
      <x:c r="N119" s="7"/>
      <x:c r="O119" s="7"/>
      <x:c r="P119" s="7"/>
      <x:c r="Q119" s="3" t="str">
        <x:f>IF(COUNTA(A119:P119)=0,"",IFERROR(IF(AND(A119&lt;&gt;"",COUNTIF($A$2:$A$201,A119)=1,OR(LEFT(B119,2)="V-",LEFT(B119,4)="SYN-"),LEN(MID(B119,IF(LEFT(B119,2)="V-",3,5),30))&gt;0,ISNUMBER(VALUE(MID(B119,IF(LEFT(B119,2)="V-",3,5),30))),VALUE(MID(B119,IF(LEFT(B119,2)="V-",3,5),30))&gt;=0,MOD(VALUE(MID(B119,IF(LEFT(B119,2)="V-",3,5),30)),1)=0,COUNTIFS(Slots!$A$2:$A$31,"E1",Slots!$B$2:$B$31,C119)=1,ISNUMBER(SEARCH("|"&amp;D119&amp;"|","|"&amp;Settings!$B$9&amp;"|")),OR(E119="regular",E119="first"),OR(F119="include",F119="duplicate",F119="late"),OR(H119="yes",H119="no"),OR(I119="success",I119="failed",I119="unknown",I119="not_sent"),OR(K119="yes",K119="no",K119="none",K119="conflict",K119="unknown"),OR(L119="text",L119="emoji",L119="voice",L119="none",L119="unknown"),OR(M119="yes",M119="no",M119="unknown"),OR(N119="yes",N119="no",N119="unknown"),ISNUMBER(O119),OR(O119=0,O119=1),OR(P119="",P119="soft_yes",P119="forgot",P119="time_place",P119="clash",P119="travel",P119="personal",P119="unknown",P119="silent_but_came"),OR(I119&lt;&gt;"success",AND(J119&lt;&gt;"",COUNTIFS($J$2:$J$201,J119,$I$2:$I$201,"success")=1)),OR(I119&lt;&gt;"not_sent",J119=""),IF(F119="duplicate",AND(COUNTIFS($A$2:$A$201,G119,$B$2:$B$201,B119,$C$2:$C$201,C119,$F$2:$F$201,"include")=1,H119="no",I119="not_sent",K119="none",M119="no",N119="no",O119=0),AND(G119="",N119&lt;&gt;"unknown",COUNTIFS($B$2:$B$201,B119,$F$2:$F$201,"&lt;&gt;duplicate")=1)),IF(F119="include",AND(H119="yes",K119&lt;&gt;"conflict",K119&lt;&gt;"unknown",M119&lt;&gt;"unknown",IF(OR(K119="yes",K119="no"),AND(M119="yes",OR(L119="text",L119="emoji",L119="voice")),L119="none")),TRUE),IF(F119="late",AND(H119="no",I119="not_sent",K119="none",L119="none",O119=0),TRUE)),"OK","CHECK"),"CHECK"))</x:f>
      </x:c>
      <x:c r="R119" s="3"/>
    </x:row>
    <x:row r="120" ht="22" customHeight="1">
      <x:c r="A120" s="8"/>
      <x:c r="B120" s="8"/>
      <x:c r="C120" s="8"/>
      <x:c r="D120" s="8"/>
      <x:c r="E120" s="7"/>
      <x:c r="F120" s="7"/>
      <x:c r="G120" s="7"/>
      <x:c r="H120" s="7"/>
      <x:c r="I120" s="7"/>
      <x:c r="J120" s="8"/>
      <x:c r="K120" s="7"/>
      <x:c r="L120" s="7"/>
      <x:c r="M120" s="7"/>
      <x:c r="N120" s="7"/>
      <x:c r="O120" s="7"/>
      <x:c r="P120" s="7"/>
      <x:c r="Q120" s="3" t="str">
        <x:f>IF(COUNTA(A120:P120)=0,"",IFERROR(IF(AND(A120&lt;&gt;"",COUNTIF($A$2:$A$201,A120)=1,OR(LEFT(B120,2)="V-",LEFT(B120,4)="SYN-"),LEN(MID(B120,IF(LEFT(B120,2)="V-",3,5),30))&gt;0,ISNUMBER(VALUE(MID(B120,IF(LEFT(B120,2)="V-",3,5),30))),VALUE(MID(B120,IF(LEFT(B120,2)="V-",3,5),30))&gt;=0,MOD(VALUE(MID(B120,IF(LEFT(B120,2)="V-",3,5),30)),1)=0,COUNTIFS(Slots!$A$2:$A$31,"E1",Slots!$B$2:$B$31,C120)=1,ISNUMBER(SEARCH("|"&amp;D120&amp;"|","|"&amp;Settings!$B$9&amp;"|")),OR(E120="regular",E120="first"),OR(F120="include",F120="duplicate",F120="late"),OR(H120="yes",H120="no"),OR(I120="success",I120="failed",I120="unknown",I120="not_sent"),OR(K120="yes",K120="no",K120="none",K120="conflict",K120="unknown"),OR(L120="text",L120="emoji",L120="voice",L120="none",L120="unknown"),OR(M120="yes",M120="no",M120="unknown"),OR(N120="yes",N120="no",N120="unknown"),ISNUMBER(O120),OR(O120=0,O120=1),OR(P120="",P120="soft_yes",P120="forgot",P120="time_place",P120="clash",P120="travel",P120="personal",P120="unknown",P120="silent_but_came"),OR(I120&lt;&gt;"success",AND(J120&lt;&gt;"",COUNTIFS($J$2:$J$201,J120,$I$2:$I$201,"success")=1)),OR(I120&lt;&gt;"not_sent",J120=""),IF(F120="duplicate",AND(COUNTIFS($A$2:$A$201,G120,$B$2:$B$201,B120,$C$2:$C$201,C120,$F$2:$F$201,"include")=1,H120="no",I120="not_sent",K120="none",M120="no",N120="no",O120=0),AND(G120="",N120&lt;&gt;"unknown",COUNTIFS($B$2:$B$201,B120,$F$2:$F$201,"&lt;&gt;duplicate")=1)),IF(F120="include",AND(H120="yes",K120&lt;&gt;"conflict",K120&lt;&gt;"unknown",M120&lt;&gt;"unknown",IF(OR(K120="yes",K120="no"),AND(M120="yes",OR(L120="text",L120="emoji",L120="voice")),L120="none")),TRUE),IF(F120="late",AND(H120="no",I120="not_sent",K120="none",L120="none",O120=0),TRUE)),"OK","CHECK"),"CHECK"))</x:f>
      </x:c>
      <x:c r="R120" s="3"/>
    </x:row>
    <x:row r="121" ht="22" customHeight="1">
      <x:c r="A121" s="8"/>
      <x:c r="B121" s="8"/>
      <x:c r="C121" s="8"/>
      <x:c r="D121" s="8"/>
      <x:c r="E121" s="7"/>
      <x:c r="F121" s="7"/>
      <x:c r="G121" s="7"/>
      <x:c r="H121" s="7"/>
      <x:c r="I121" s="7"/>
      <x:c r="J121" s="8"/>
      <x:c r="K121" s="7"/>
      <x:c r="L121" s="7"/>
      <x:c r="M121" s="7"/>
      <x:c r="N121" s="7"/>
      <x:c r="O121" s="7"/>
      <x:c r="P121" s="7"/>
      <x:c r="Q121" s="3" t="str">
        <x:f>IF(COUNTA(A121:P121)=0,"",IFERROR(IF(AND(A121&lt;&gt;"",COUNTIF($A$2:$A$201,A121)=1,OR(LEFT(B121,2)="V-",LEFT(B121,4)="SYN-"),LEN(MID(B121,IF(LEFT(B121,2)="V-",3,5),30))&gt;0,ISNUMBER(VALUE(MID(B121,IF(LEFT(B121,2)="V-",3,5),30))),VALUE(MID(B121,IF(LEFT(B121,2)="V-",3,5),30))&gt;=0,MOD(VALUE(MID(B121,IF(LEFT(B121,2)="V-",3,5),30)),1)=0,COUNTIFS(Slots!$A$2:$A$31,"E1",Slots!$B$2:$B$31,C121)=1,ISNUMBER(SEARCH("|"&amp;D121&amp;"|","|"&amp;Settings!$B$9&amp;"|")),OR(E121="regular",E121="first"),OR(F121="include",F121="duplicate",F121="late"),OR(H121="yes",H121="no"),OR(I121="success",I121="failed",I121="unknown",I121="not_sent"),OR(K121="yes",K121="no",K121="none",K121="conflict",K121="unknown"),OR(L121="text",L121="emoji",L121="voice",L121="none",L121="unknown"),OR(M121="yes",M121="no",M121="unknown"),OR(N121="yes",N121="no",N121="unknown"),ISNUMBER(O121),OR(O121=0,O121=1),OR(P121="",P121="soft_yes",P121="forgot",P121="time_place",P121="clash",P121="travel",P121="personal",P121="unknown",P121="silent_but_came"),OR(I121&lt;&gt;"success",AND(J121&lt;&gt;"",COUNTIFS($J$2:$J$201,J121,$I$2:$I$201,"success")=1)),OR(I121&lt;&gt;"not_sent",J121=""),IF(F121="duplicate",AND(COUNTIFS($A$2:$A$201,G121,$B$2:$B$201,B121,$C$2:$C$201,C121,$F$2:$F$201,"include")=1,H121="no",I121="not_sent",K121="none",M121="no",N121="no",O121=0),AND(G121="",N121&lt;&gt;"unknown",COUNTIFS($B$2:$B$201,B121,$F$2:$F$201,"&lt;&gt;duplicate")=1)),IF(F121="include",AND(H121="yes",K121&lt;&gt;"conflict",K121&lt;&gt;"unknown",M121&lt;&gt;"unknown",IF(OR(K121="yes",K121="no"),AND(M121="yes",OR(L121="text",L121="emoji",L121="voice")),L121="none")),TRUE),IF(F121="late",AND(H121="no",I121="not_sent",K121="none",L121="none",O121=0),TRUE)),"OK","CHECK"),"CHECK"))</x:f>
      </x:c>
      <x:c r="R121" s="3"/>
    </x:row>
    <x:row r="122" ht="22" customHeight="1">
      <x:c r="A122" s="8"/>
      <x:c r="B122" s="8"/>
      <x:c r="C122" s="8"/>
      <x:c r="D122" s="8"/>
      <x:c r="E122" s="7"/>
      <x:c r="F122" s="7"/>
      <x:c r="G122" s="7"/>
      <x:c r="H122" s="7"/>
      <x:c r="I122" s="7"/>
      <x:c r="J122" s="8"/>
      <x:c r="K122" s="7"/>
      <x:c r="L122" s="7"/>
      <x:c r="M122" s="7"/>
      <x:c r="N122" s="7"/>
      <x:c r="O122" s="7"/>
      <x:c r="P122" s="7"/>
      <x:c r="Q122" s="3" t="str">
        <x:f>IF(COUNTA(A122:P122)=0,"",IFERROR(IF(AND(A122&lt;&gt;"",COUNTIF($A$2:$A$201,A122)=1,OR(LEFT(B122,2)="V-",LEFT(B122,4)="SYN-"),LEN(MID(B122,IF(LEFT(B122,2)="V-",3,5),30))&gt;0,ISNUMBER(VALUE(MID(B122,IF(LEFT(B122,2)="V-",3,5),30))),VALUE(MID(B122,IF(LEFT(B122,2)="V-",3,5),30))&gt;=0,MOD(VALUE(MID(B122,IF(LEFT(B122,2)="V-",3,5),30)),1)=0,COUNTIFS(Slots!$A$2:$A$31,"E1",Slots!$B$2:$B$31,C122)=1,ISNUMBER(SEARCH("|"&amp;D122&amp;"|","|"&amp;Settings!$B$9&amp;"|")),OR(E122="regular",E122="first"),OR(F122="include",F122="duplicate",F122="late"),OR(H122="yes",H122="no"),OR(I122="success",I122="failed",I122="unknown",I122="not_sent"),OR(K122="yes",K122="no",K122="none",K122="conflict",K122="unknown"),OR(L122="text",L122="emoji",L122="voice",L122="none",L122="unknown"),OR(M122="yes",M122="no",M122="unknown"),OR(N122="yes",N122="no",N122="unknown"),ISNUMBER(O122),OR(O122=0,O122=1),OR(P122="",P122="soft_yes",P122="forgot",P122="time_place",P122="clash",P122="travel",P122="personal",P122="unknown",P122="silent_but_came"),OR(I122&lt;&gt;"success",AND(J122&lt;&gt;"",COUNTIFS($J$2:$J$201,J122,$I$2:$I$201,"success")=1)),OR(I122&lt;&gt;"not_sent",J122=""),IF(F122="duplicate",AND(COUNTIFS($A$2:$A$201,G122,$B$2:$B$201,B122,$C$2:$C$201,C122,$F$2:$F$201,"include")=1,H122="no",I122="not_sent",K122="none",M122="no",N122="no",O122=0),AND(G122="",N122&lt;&gt;"unknown",COUNTIFS($B$2:$B$201,B122,$F$2:$F$201,"&lt;&gt;duplicate")=1)),IF(F122="include",AND(H122="yes",K122&lt;&gt;"conflict",K122&lt;&gt;"unknown",M122&lt;&gt;"unknown",IF(OR(K122="yes",K122="no"),AND(M122="yes",OR(L122="text",L122="emoji",L122="voice")),L122="none")),TRUE),IF(F122="late",AND(H122="no",I122="not_sent",K122="none",L122="none",O122=0),TRUE)),"OK","CHECK"),"CHECK"))</x:f>
      </x:c>
      <x:c r="R122" s="3"/>
    </x:row>
    <x:row r="123" ht="22" customHeight="1">
      <x:c r="A123" s="8"/>
      <x:c r="B123" s="8"/>
      <x:c r="C123" s="8"/>
      <x:c r="D123" s="8"/>
      <x:c r="E123" s="7"/>
      <x:c r="F123" s="7"/>
      <x:c r="G123" s="7"/>
      <x:c r="H123" s="7"/>
      <x:c r="I123" s="7"/>
      <x:c r="J123" s="8"/>
      <x:c r="K123" s="7"/>
      <x:c r="L123" s="7"/>
      <x:c r="M123" s="7"/>
      <x:c r="N123" s="7"/>
      <x:c r="O123" s="7"/>
      <x:c r="P123" s="7"/>
      <x:c r="Q123" s="3" t="str">
        <x:f>IF(COUNTA(A123:P123)=0,"",IFERROR(IF(AND(A123&lt;&gt;"",COUNTIF($A$2:$A$201,A123)=1,OR(LEFT(B123,2)="V-",LEFT(B123,4)="SYN-"),LEN(MID(B123,IF(LEFT(B123,2)="V-",3,5),30))&gt;0,ISNUMBER(VALUE(MID(B123,IF(LEFT(B123,2)="V-",3,5),30))),VALUE(MID(B123,IF(LEFT(B123,2)="V-",3,5),30))&gt;=0,MOD(VALUE(MID(B123,IF(LEFT(B123,2)="V-",3,5),30)),1)=0,COUNTIFS(Slots!$A$2:$A$31,"E1",Slots!$B$2:$B$31,C123)=1,ISNUMBER(SEARCH("|"&amp;D123&amp;"|","|"&amp;Settings!$B$9&amp;"|")),OR(E123="regular",E123="first"),OR(F123="include",F123="duplicate",F123="late"),OR(H123="yes",H123="no"),OR(I123="success",I123="failed",I123="unknown",I123="not_sent"),OR(K123="yes",K123="no",K123="none",K123="conflict",K123="unknown"),OR(L123="text",L123="emoji",L123="voice",L123="none",L123="unknown"),OR(M123="yes",M123="no",M123="unknown"),OR(N123="yes",N123="no",N123="unknown"),ISNUMBER(O123),OR(O123=0,O123=1),OR(P123="",P123="soft_yes",P123="forgot",P123="time_place",P123="clash",P123="travel",P123="personal",P123="unknown",P123="silent_but_came"),OR(I123&lt;&gt;"success",AND(J123&lt;&gt;"",COUNTIFS($J$2:$J$201,J123,$I$2:$I$201,"success")=1)),OR(I123&lt;&gt;"not_sent",J123=""),IF(F123="duplicate",AND(COUNTIFS($A$2:$A$201,G123,$B$2:$B$201,B123,$C$2:$C$201,C123,$F$2:$F$201,"include")=1,H123="no",I123="not_sent",K123="none",M123="no",N123="no",O123=0),AND(G123="",N123&lt;&gt;"unknown",COUNTIFS($B$2:$B$201,B123,$F$2:$F$201,"&lt;&gt;duplicate")=1)),IF(F123="include",AND(H123="yes",K123&lt;&gt;"conflict",K123&lt;&gt;"unknown",M123&lt;&gt;"unknown",IF(OR(K123="yes",K123="no"),AND(M123="yes",OR(L123="text",L123="emoji",L123="voice")),L123="none")),TRUE),IF(F123="late",AND(H123="no",I123="not_sent",K123="none",L123="none",O123=0),TRUE)),"OK","CHECK"),"CHECK"))</x:f>
      </x:c>
      <x:c r="R123" s="3"/>
    </x:row>
    <x:row r="124" ht="22" customHeight="1">
      <x:c r="A124" s="8"/>
      <x:c r="B124" s="8"/>
      <x:c r="C124" s="8"/>
      <x:c r="D124" s="8"/>
      <x:c r="E124" s="7"/>
      <x:c r="F124" s="7"/>
      <x:c r="G124" s="7"/>
      <x:c r="H124" s="7"/>
      <x:c r="I124" s="7"/>
      <x:c r="J124" s="8"/>
      <x:c r="K124" s="7"/>
      <x:c r="L124" s="7"/>
      <x:c r="M124" s="7"/>
      <x:c r="N124" s="7"/>
      <x:c r="O124" s="7"/>
      <x:c r="P124" s="7"/>
      <x:c r="Q124" s="3" t="str">
        <x:f>IF(COUNTA(A124:P124)=0,"",IFERROR(IF(AND(A124&lt;&gt;"",COUNTIF($A$2:$A$201,A124)=1,OR(LEFT(B124,2)="V-",LEFT(B124,4)="SYN-"),LEN(MID(B124,IF(LEFT(B124,2)="V-",3,5),30))&gt;0,ISNUMBER(VALUE(MID(B124,IF(LEFT(B124,2)="V-",3,5),30))),VALUE(MID(B124,IF(LEFT(B124,2)="V-",3,5),30))&gt;=0,MOD(VALUE(MID(B124,IF(LEFT(B124,2)="V-",3,5),30)),1)=0,COUNTIFS(Slots!$A$2:$A$31,"E1",Slots!$B$2:$B$31,C124)=1,ISNUMBER(SEARCH("|"&amp;D124&amp;"|","|"&amp;Settings!$B$9&amp;"|")),OR(E124="regular",E124="first"),OR(F124="include",F124="duplicate",F124="late"),OR(H124="yes",H124="no"),OR(I124="success",I124="failed",I124="unknown",I124="not_sent"),OR(K124="yes",K124="no",K124="none",K124="conflict",K124="unknown"),OR(L124="text",L124="emoji",L124="voice",L124="none",L124="unknown"),OR(M124="yes",M124="no",M124="unknown"),OR(N124="yes",N124="no",N124="unknown"),ISNUMBER(O124),OR(O124=0,O124=1),OR(P124="",P124="soft_yes",P124="forgot",P124="time_place",P124="clash",P124="travel",P124="personal",P124="unknown",P124="silent_but_came"),OR(I124&lt;&gt;"success",AND(J124&lt;&gt;"",COUNTIFS($J$2:$J$201,J124,$I$2:$I$201,"success")=1)),OR(I124&lt;&gt;"not_sent",J124=""),IF(F124="duplicate",AND(COUNTIFS($A$2:$A$201,G124,$B$2:$B$201,B124,$C$2:$C$201,C124,$F$2:$F$201,"include")=1,H124="no",I124="not_sent",K124="none",M124="no",N124="no",O124=0),AND(G124="",N124&lt;&gt;"unknown",COUNTIFS($B$2:$B$201,B124,$F$2:$F$201,"&lt;&gt;duplicate")=1)),IF(F124="include",AND(H124="yes",K124&lt;&gt;"conflict",K124&lt;&gt;"unknown",M124&lt;&gt;"unknown",IF(OR(K124="yes",K124="no"),AND(M124="yes",OR(L124="text",L124="emoji",L124="voice")),L124="none")),TRUE),IF(F124="late",AND(H124="no",I124="not_sent",K124="none",L124="none",O124=0),TRUE)),"OK","CHECK"),"CHECK"))</x:f>
      </x:c>
      <x:c r="R124" s="3"/>
    </x:row>
    <x:row r="125" ht="22" customHeight="1">
      <x:c r="A125" s="8"/>
      <x:c r="B125" s="8"/>
      <x:c r="C125" s="8"/>
      <x:c r="D125" s="8"/>
      <x:c r="E125" s="7"/>
      <x:c r="F125" s="7"/>
      <x:c r="G125" s="7"/>
      <x:c r="H125" s="7"/>
      <x:c r="I125" s="7"/>
      <x:c r="J125" s="8"/>
      <x:c r="K125" s="7"/>
      <x:c r="L125" s="7"/>
      <x:c r="M125" s="7"/>
      <x:c r="N125" s="7"/>
      <x:c r="O125" s="7"/>
      <x:c r="P125" s="7"/>
      <x:c r="Q125" s="3" t="str">
        <x:f>IF(COUNTA(A125:P125)=0,"",IFERROR(IF(AND(A125&lt;&gt;"",COUNTIF($A$2:$A$201,A125)=1,OR(LEFT(B125,2)="V-",LEFT(B125,4)="SYN-"),LEN(MID(B125,IF(LEFT(B125,2)="V-",3,5),30))&gt;0,ISNUMBER(VALUE(MID(B125,IF(LEFT(B125,2)="V-",3,5),30))),VALUE(MID(B125,IF(LEFT(B125,2)="V-",3,5),30))&gt;=0,MOD(VALUE(MID(B125,IF(LEFT(B125,2)="V-",3,5),30)),1)=0,COUNTIFS(Slots!$A$2:$A$31,"E1",Slots!$B$2:$B$31,C125)=1,ISNUMBER(SEARCH("|"&amp;D125&amp;"|","|"&amp;Settings!$B$9&amp;"|")),OR(E125="regular",E125="first"),OR(F125="include",F125="duplicate",F125="late"),OR(H125="yes",H125="no"),OR(I125="success",I125="failed",I125="unknown",I125="not_sent"),OR(K125="yes",K125="no",K125="none",K125="conflict",K125="unknown"),OR(L125="text",L125="emoji",L125="voice",L125="none",L125="unknown"),OR(M125="yes",M125="no",M125="unknown"),OR(N125="yes",N125="no",N125="unknown"),ISNUMBER(O125),OR(O125=0,O125=1),OR(P125="",P125="soft_yes",P125="forgot",P125="time_place",P125="clash",P125="travel",P125="personal",P125="unknown",P125="silent_but_came"),OR(I125&lt;&gt;"success",AND(J125&lt;&gt;"",COUNTIFS($J$2:$J$201,J125,$I$2:$I$201,"success")=1)),OR(I125&lt;&gt;"not_sent",J125=""),IF(F125="duplicate",AND(COUNTIFS($A$2:$A$201,G125,$B$2:$B$201,B125,$C$2:$C$201,C125,$F$2:$F$201,"include")=1,H125="no",I125="not_sent",K125="none",M125="no",N125="no",O125=0),AND(G125="",N125&lt;&gt;"unknown",COUNTIFS($B$2:$B$201,B125,$F$2:$F$201,"&lt;&gt;duplicate")=1)),IF(F125="include",AND(H125="yes",K125&lt;&gt;"conflict",K125&lt;&gt;"unknown",M125&lt;&gt;"unknown",IF(OR(K125="yes",K125="no"),AND(M125="yes",OR(L125="text",L125="emoji",L125="voice")),L125="none")),TRUE),IF(F125="late",AND(H125="no",I125="not_sent",K125="none",L125="none",O125=0),TRUE)),"OK","CHECK"),"CHECK"))</x:f>
      </x:c>
      <x:c r="R125" s="3"/>
    </x:row>
    <x:row r="126" ht="22" customHeight="1">
      <x:c r="A126" s="8"/>
      <x:c r="B126" s="8"/>
      <x:c r="C126" s="8"/>
      <x:c r="D126" s="8"/>
      <x:c r="E126" s="7"/>
      <x:c r="F126" s="7"/>
      <x:c r="G126" s="7"/>
      <x:c r="H126" s="7"/>
      <x:c r="I126" s="7"/>
      <x:c r="J126" s="8"/>
      <x:c r="K126" s="7"/>
      <x:c r="L126" s="7"/>
      <x:c r="M126" s="7"/>
      <x:c r="N126" s="7"/>
      <x:c r="O126" s="7"/>
      <x:c r="P126" s="7"/>
      <x:c r="Q126" s="3" t="str">
        <x:f>IF(COUNTA(A126:P126)=0,"",IFERROR(IF(AND(A126&lt;&gt;"",COUNTIF($A$2:$A$201,A126)=1,OR(LEFT(B126,2)="V-",LEFT(B126,4)="SYN-"),LEN(MID(B126,IF(LEFT(B126,2)="V-",3,5),30))&gt;0,ISNUMBER(VALUE(MID(B126,IF(LEFT(B126,2)="V-",3,5),30))),VALUE(MID(B126,IF(LEFT(B126,2)="V-",3,5),30))&gt;=0,MOD(VALUE(MID(B126,IF(LEFT(B126,2)="V-",3,5),30)),1)=0,COUNTIFS(Slots!$A$2:$A$31,"E1",Slots!$B$2:$B$31,C126)=1,ISNUMBER(SEARCH("|"&amp;D126&amp;"|","|"&amp;Settings!$B$9&amp;"|")),OR(E126="regular",E126="first"),OR(F126="include",F126="duplicate",F126="late"),OR(H126="yes",H126="no"),OR(I126="success",I126="failed",I126="unknown",I126="not_sent"),OR(K126="yes",K126="no",K126="none",K126="conflict",K126="unknown"),OR(L126="text",L126="emoji",L126="voice",L126="none",L126="unknown"),OR(M126="yes",M126="no",M126="unknown"),OR(N126="yes",N126="no",N126="unknown"),ISNUMBER(O126),OR(O126=0,O126=1),OR(P126="",P126="soft_yes",P126="forgot",P126="time_place",P126="clash",P126="travel",P126="personal",P126="unknown",P126="silent_but_came"),OR(I126&lt;&gt;"success",AND(J126&lt;&gt;"",COUNTIFS($J$2:$J$201,J126,$I$2:$I$201,"success")=1)),OR(I126&lt;&gt;"not_sent",J126=""),IF(F126="duplicate",AND(COUNTIFS($A$2:$A$201,G126,$B$2:$B$201,B126,$C$2:$C$201,C126,$F$2:$F$201,"include")=1,H126="no",I126="not_sent",K126="none",M126="no",N126="no",O126=0),AND(G126="",N126&lt;&gt;"unknown",COUNTIFS($B$2:$B$201,B126,$F$2:$F$201,"&lt;&gt;duplicate")=1)),IF(F126="include",AND(H126="yes",K126&lt;&gt;"conflict",K126&lt;&gt;"unknown",M126&lt;&gt;"unknown",IF(OR(K126="yes",K126="no"),AND(M126="yes",OR(L126="text",L126="emoji",L126="voice")),L126="none")),TRUE),IF(F126="late",AND(H126="no",I126="not_sent",K126="none",L126="none",O126=0),TRUE)),"OK","CHECK"),"CHECK"))</x:f>
      </x:c>
      <x:c r="R126" s="3"/>
    </x:row>
    <x:row r="127" ht="22" customHeight="1">
      <x:c r="A127" s="8"/>
      <x:c r="B127" s="8"/>
      <x:c r="C127" s="8"/>
      <x:c r="D127" s="8"/>
      <x:c r="E127" s="7"/>
      <x:c r="F127" s="7"/>
      <x:c r="G127" s="7"/>
      <x:c r="H127" s="7"/>
      <x:c r="I127" s="7"/>
      <x:c r="J127" s="8"/>
      <x:c r="K127" s="7"/>
      <x:c r="L127" s="7"/>
      <x:c r="M127" s="7"/>
      <x:c r="N127" s="7"/>
      <x:c r="O127" s="7"/>
      <x:c r="P127" s="7"/>
      <x:c r="Q127" s="3" t="str">
        <x:f>IF(COUNTA(A127:P127)=0,"",IFERROR(IF(AND(A127&lt;&gt;"",COUNTIF($A$2:$A$201,A127)=1,OR(LEFT(B127,2)="V-",LEFT(B127,4)="SYN-"),LEN(MID(B127,IF(LEFT(B127,2)="V-",3,5),30))&gt;0,ISNUMBER(VALUE(MID(B127,IF(LEFT(B127,2)="V-",3,5),30))),VALUE(MID(B127,IF(LEFT(B127,2)="V-",3,5),30))&gt;=0,MOD(VALUE(MID(B127,IF(LEFT(B127,2)="V-",3,5),30)),1)=0,COUNTIFS(Slots!$A$2:$A$31,"E1",Slots!$B$2:$B$31,C127)=1,ISNUMBER(SEARCH("|"&amp;D127&amp;"|","|"&amp;Settings!$B$9&amp;"|")),OR(E127="regular",E127="first"),OR(F127="include",F127="duplicate",F127="late"),OR(H127="yes",H127="no"),OR(I127="success",I127="failed",I127="unknown",I127="not_sent"),OR(K127="yes",K127="no",K127="none",K127="conflict",K127="unknown"),OR(L127="text",L127="emoji",L127="voice",L127="none",L127="unknown"),OR(M127="yes",M127="no",M127="unknown"),OR(N127="yes",N127="no",N127="unknown"),ISNUMBER(O127),OR(O127=0,O127=1),OR(P127="",P127="soft_yes",P127="forgot",P127="time_place",P127="clash",P127="travel",P127="personal",P127="unknown",P127="silent_but_came"),OR(I127&lt;&gt;"success",AND(J127&lt;&gt;"",COUNTIFS($J$2:$J$201,J127,$I$2:$I$201,"success")=1)),OR(I127&lt;&gt;"not_sent",J127=""),IF(F127="duplicate",AND(COUNTIFS($A$2:$A$201,G127,$B$2:$B$201,B127,$C$2:$C$201,C127,$F$2:$F$201,"include")=1,H127="no",I127="not_sent",K127="none",M127="no",N127="no",O127=0),AND(G127="",N127&lt;&gt;"unknown",COUNTIFS($B$2:$B$201,B127,$F$2:$F$201,"&lt;&gt;duplicate")=1)),IF(F127="include",AND(H127="yes",K127&lt;&gt;"conflict",K127&lt;&gt;"unknown",M127&lt;&gt;"unknown",IF(OR(K127="yes",K127="no"),AND(M127="yes",OR(L127="text",L127="emoji",L127="voice")),L127="none")),TRUE),IF(F127="late",AND(H127="no",I127="not_sent",K127="none",L127="none",O127=0),TRUE)),"OK","CHECK"),"CHECK"))</x:f>
      </x:c>
      <x:c r="R127" s="3"/>
    </x:row>
    <x:row r="128" ht="22" customHeight="1">
      <x:c r="A128" s="8"/>
      <x:c r="B128" s="8"/>
      <x:c r="C128" s="8"/>
      <x:c r="D128" s="8"/>
      <x:c r="E128" s="7"/>
      <x:c r="F128" s="7"/>
      <x:c r="G128" s="7"/>
      <x:c r="H128" s="7"/>
      <x:c r="I128" s="7"/>
      <x:c r="J128" s="8"/>
      <x:c r="K128" s="7"/>
      <x:c r="L128" s="7"/>
      <x:c r="M128" s="7"/>
      <x:c r="N128" s="7"/>
      <x:c r="O128" s="7"/>
      <x:c r="P128" s="7"/>
      <x:c r="Q128" s="3" t="str">
        <x:f>IF(COUNTA(A128:P128)=0,"",IFERROR(IF(AND(A128&lt;&gt;"",COUNTIF($A$2:$A$201,A128)=1,OR(LEFT(B128,2)="V-",LEFT(B128,4)="SYN-"),LEN(MID(B128,IF(LEFT(B128,2)="V-",3,5),30))&gt;0,ISNUMBER(VALUE(MID(B128,IF(LEFT(B128,2)="V-",3,5),30))),VALUE(MID(B128,IF(LEFT(B128,2)="V-",3,5),30))&gt;=0,MOD(VALUE(MID(B128,IF(LEFT(B128,2)="V-",3,5),30)),1)=0,COUNTIFS(Slots!$A$2:$A$31,"E1",Slots!$B$2:$B$31,C128)=1,ISNUMBER(SEARCH("|"&amp;D128&amp;"|","|"&amp;Settings!$B$9&amp;"|")),OR(E128="regular",E128="first"),OR(F128="include",F128="duplicate",F128="late"),OR(H128="yes",H128="no"),OR(I128="success",I128="failed",I128="unknown",I128="not_sent"),OR(K128="yes",K128="no",K128="none",K128="conflict",K128="unknown"),OR(L128="text",L128="emoji",L128="voice",L128="none",L128="unknown"),OR(M128="yes",M128="no",M128="unknown"),OR(N128="yes",N128="no",N128="unknown"),ISNUMBER(O128),OR(O128=0,O128=1),OR(P128="",P128="soft_yes",P128="forgot",P128="time_place",P128="clash",P128="travel",P128="personal",P128="unknown",P128="silent_but_came"),OR(I128&lt;&gt;"success",AND(J128&lt;&gt;"",COUNTIFS($J$2:$J$201,J128,$I$2:$I$201,"success")=1)),OR(I128&lt;&gt;"not_sent",J128=""),IF(F128="duplicate",AND(COUNTIFS($A$2:$A$201,G128,$B$2:$B$201,B128,$C$2:$C$201,C128,$F$2:$F$201,"include")=1,H128="no",I128="not_sent",K128="none",M128="no",N128="no",O128=0),AND(G128="",N128&lt;&gt;"unknown",COUNTIFS($B$2:$B$201,B128,$F$2:$F$201,"&lt;&gt;duplicate")=1)),IF(F128="include",AND(H128="yes",K128&lt;&gt;"conflict",K128&lt;&gt;"unknown",M128&lt;&gt;"unknown",IF(OR(K128="yes",K128="no"),AND(M128="yes",OR(L128="text",L128="emoji",L128="voice")),L128="none")),TRUE),IF(F128="late",AND(H128="no",I128="not_sent",K128="none",L128="none",O128=0),TRUE)),"OK","CHECK"),"CHECK"))</x:f>
      </x:c>
      <x:c r="R128" s="3"/>
    </x:row>
    <x:row r="129" ht="22" customHeight="1">
      <x:c r="A129" s="8"/>
      <x:c r="B129" s="8"/>
      <x:c r="C129" s="8"/>
      <x:c r="D129" s="8"/>
      <x:c r="E129" s="7"/>
      <x:c r="F129" s="7"/>
      <x:c r="G129" s="7"/>
      <x:c r="H129" s="7"/>
      <x:c r="I129" s="7"/>
      <x:c r="J129" s="8"/>
      <x:c r="K129" s="7"/>
      <x:c r="L129" s="7"/>
      <x:c r="M129" s="7"/>
      <x:c r="N129" s="7"/>
      <x:c r="O129" s="7"/>
      <x:c r="P129" s="7"/>
      <x:c r="Q129" s="3" t="str">
        <x:f>IF(COUNTA(A129:P129)=0,"",IFERROR(IF(AND(A129&lt;&gt;"",COUNTIF($A$2:$A$201,A129)=1,OR(LEFT(B129,2)="V-",LEFT(B129,4)="SYN-"),LEN(MID(B129,IF(LEFT(B129,2)="V-",3,5),30))&gt;0,ISNUMBER(VALUE(MID(B129,IF(LEFT(B129,2)="V-",3,5),30))),VALUE(MID(B129,IF(LEFT(B129,2)="V-",3,5),30))&gt;=0,MOD(VALUE(MID(B129,IF(LEFT(B129,2)="V-",3,5),30)),1)=0,COUNTIFS(Slots!$A$2:$A$31,"E1",Slots!$B$2:$B$31,C129)=1,ISNUMBER(SEARCH("|"&amp;D129&amp;"|","|"&amp;Settings!$B$9&amp;"|")),OR(E129="regular",E129="first"),OR(F129="include",F129="duplicate",F129="late"),OR(H129="yes",H129="no"),OR(I129="success",I129="failed",I129="unknown",I129="not_sent"),OR(K129="yes",K129="no",K129="none",K129="conflict",K129="unknown"),OR(L129="text",L129="emoji",L129="voice",L129="none",L129="unknown"),OR(M129="yes",M129="no",M129="unknown"),OR(N129="yes",N129="no",N129="unknown"),ISNUMBER(O129),OR(O129=0,O129=1),OR(P129="",P129="soft_yes",P129="forgot",P129="time_place",P129="clash",P129="travel",P129="personal",P129="unknown",P129="silent_but_came"),OR(I129&lt;&gt;"success",AND(J129&lt;&gt;"",COUNTIFS($J$2:$J$201,J129,$I$2:$I$201,"success")=1)),OR(I129&lt;&gt;"not_sent",J129=""),IF(F129="duplicate",AND(COUNTIFS($A$2:$A$201,G129,$B$2:$B$201,B129,$C$2:$C$201,C129,$F$2:$F$201,"include")=1,H129="no",I129="not_sent",K129="none",M129="no",N129="no",O129=0),AND(G129="",N129&lt;&gt;"unknown",COUNTIFS($B$2:$B$201,B129,$F$2:$F$201,"&lt;&gt;duplicate")=1)),IF(F129="include",AND(H129="yes",K129&lt;&gt;"conflict",K129&lt;&gt;"unknown",M129&lt;&gt;"unknown",IF(OR(K129="yes",K129="no"),AND(M129="yes",OR(L129="text",L129="emoji",L129="voice")),L129="none")),TRUE),IF(F129="late",AND(H129="no",I129="not_sent",K129="none",L129="none",O129=0),TRUE)),"OK","CHECK"),"CHECK"))</x:f>
      </x:c>
      <x:c r="R129" s="3"/>
    </x:row>
    <x:row r="130" ht="22" customHeight="1">
      <x:c r="A130" s="8"/>
      <x:c r="B130" s="8"/>
      <x:c r="C130" s="8"/>
      <x:c r="D130" s="8"/>
      <x:c r="E130" s="7"/>
      <x:c r="F130" s="7"/>
      <x:c r="G130" s="7"/>
      <x:c r="H130" s="7"/>
      <x:c r="I130" s="7"/>
      <x:c r="J130" s="8"/>
      <x:c r="K130" s="7"/>
      <x:c r="L130" s="7"/>
      <x:c r="M130" s="7"/>
      <x:c r="N130" s="7"/>
      <x:c r="O130" s="7"/>
      <x:c r="P130" s="7"/>
      <x:c r="Q130" s="3" t="str">
        <x:f>IF(COUNTA(A130:P130)=0,"",IFERROR(IF(AND(A130&lt;&gt;"",COUNTIF($A$2:$A$201,A130)=1,OR(LEFT(B130,2)="V-",LEFT(B130,4)="SYN-"),LEN(MID(B130,IF(LEFT(B130,2)="V-",3,5),30))&gt;0,ISNUMBER(VALUE(MID(B130,IF(LEFT(B130,2)="V-",3,5),30))),VALUE(MID(B130,IF(LEFT(B130,2)="V-",3,5),30))&gt;=0,MOD(VALUE(MID(B130,IF(LEFT(B130,2)="V-",3,5),30)),1)=0,COUNTIFS(Slots!$A$2:$A$31,"E1",Slots!$B$2:$B$31,C130)=1,ISNUMBER(SEARCH("|"&amp;D130&amp;"|","|"&amp;Settings!$B$9&amp;"|")),OR(E130="regular",E130="first"),OR(F130="include",F130="duplicate",F130="late"),OR(H130="yes",H130="no"),OR(I130="success",I130="failed",I130="unknown",I130="not_sent"),OR(K130="yes",K130="no",K130="none",K130="conflict",K130="unknown"),OR(L130="text",L130="emoji",L130="voice",L130="none",L130="unknown"),OR(M130="yes",M130="no",M130="unknown"),OR(N130="yes",N130="no",N130="unknown"),ISNUMBER(O130),OR(O130=0,O130=1),OR(P130="",P130="soft_yes",P130="forgot",P130="time_place",P130="clash",P130="travel",P130="personal",P130="unknown",P130="silent_but_came"),OR(I130&lt;&gt;"success",AND(J130&lt;&gt;"",COUNTIFS($J$2:$J$201,J130,$I$2:$I$201,"success")=1)),OR(I130&lt;&gt;"not_sent",J130=""),IF(F130="duplicate",AND(COUNTIFS($A$2:$A$201,G130,$B$2:$B$201,B130,$C$2:$C$201,C130,$F$2:$F$201,"include")=1,H130="no",I130="not_sent",K130="none",M130="no",N130="no",O130=0),AND(G130="",N130&lt;&gt;"unknown",COUNTIFS($B$2:$B$201,B130,$F$2:$F$201,"&lt;&gt;duplicate")=1)),IF(F130="include",AND(H130="yes",K130&lt;&gt;"conflict",K130&lt;&gt;"unknown",M130&lt;&gt;"unknown",IF(OR(K130="yes",K130="no"),AND(M130="yes",OR(L130="text",L130="emoji",L130="voice")),L130="none")),TRUE),IF(F130="late",AND(H130="no",I130="not_sent",K130="none",L130="none",O130=0),TRUE)),"OK","CHECK"),"CHECK"))</x:f>
      </x:c>
      <x:c r="R130" s="3"/>
    </x:row>
    <x:row r="131" ht="22" customHeight="1">
      <x:c r="A131" s="8"/>
      <x:c r="B131" s="8"/>
      <x:c r="C131" s="8"/>
      <x:c r="D131" s="8"/>
      <x:c r="E131" s="7"/>
      <x:c r="F131" s="7"/>
      <x:c r="G131" s="7"/>
      <x:c r="H131" s="7"/>
      <x:c r="I131" s="7"/>
      <x:c r="J131" s="8"/>
      <x:c r="K131" s="7"/>
      <x:c r="L131" s="7"/>
      <x:c r="M131" s="7"/>
      <x:c r="N131" s="7"/>
      <x:c r="O131" s="7"/>
      <x:c r="P131" s="7"/>
      <x:c r="Q131" s="3" t="str">
        <x:f>IF(COUNTA(A131:P131)=0,"",IFERROR(IF(AND(A131&lt;&gt;"",COUNTIF($A$2:$A$201,A131)=1,OR(LEFT(B131,2)="V-",LEFT(B131,4)="SYN-"),LEN(MID(B131,IF(LEFT(B131,2)="V-",3,5),30))&gt;0,ISNUMBER(VALUE(MID(B131,IF(LEFT(B131,2)="V-",3,5),30))),VALUE(MID(B131,IF(LEFT(B131,2)="V-",3,5),30))&gt;=0,MOD(VALUE(MID(B131,IF(LEFT(B131,2)="V-",3,5),30)),1)=0,COUNTIFS(Slots!$A$2:$A$31,"E1",Slots!$B$2:$B$31,C131)=1,ISNUMBER(SEARCH("|"&amp;D131&amp;"|","|"&amp;Settings!$B$9&amp;"|")),OR(E131="regular",E131="first"),OR(F131="include",F131="duplicate",F131="late"),OR(H131="yes",H131="no"),OR(I131="success",I131="failed",I131="unknown",I131="not_sent"),OR(K131="yes",K131="no",K131="none",K131="conflict",K131="unknown"),OR(L131="text",L131="emoji",L131="voice",L131="none",L131="unknown"),OR(M131="yes",M131="no",M131="unknown"),OR(N131="yes",N131="no",N131="unknown"),ISNUMBER(O131),OR(O131=0,O131=1),OR(P131="",P131="soft_yes",P131="forgot",P131="time_place",P131="clash",P131="travel",P131="personal",P131="unknown",P131="silent_but_came"),OR(I131&lt;&gt;"success",AND(J131&lt;&gt;"",COUNTIFS($J$2:$J$201,J131,$I$2:$I$201,"success")=1)),OR(I131&lt;&gt;"not_sent",J131=""),IF(F131="duplicate",AND(COUNTIFS($A$2:$A$201,G131,$B$2:$B$201,B131,$C$2:$C$201,C131,$F$2:$F$201,"include")=1,H131="no",I131="not_sent",K131="none",M131="no",N131="no",O131=0),AND(G131="",N131&lt;&gt;"unknown",COUNTIFS($B$2:$B$201,B131,$F$2:$F$201,"&lt;&gt;duplicate")=1)),IF(F131="include",AND(H131="yes",K131&lt;&gt;"conflict",K131&lt;&gt;"unknown",M131&lt;&gt;"unknown",IF(OR(K131="yes",K131="no"),AND(M131="yes",OR(L131="text",L131="emoji",L131="voice")),L131="none")),TRUE),IF(F131="late",AND(H131="no",I131="not_sent",K131="none",L131="none",O131=0),TRUE)),"OK","CHECK"),"CHECK"))</x:f>
      </x:c>
      <x:c r="R131" s="3"/>
    </x:row>
    <x:row r="132" ht="22" customHeight="1">
      <x:c r="A132" s="8"/>
      <x:c r="B132" s="8"/>
      <x:c r="C132" s="8"/>
      <x:c r="D132" s="8"/>
      <x:c r="E132" s="7"/>
      <x:c r="F132" s="7"/>
      <x:c r="G132" s="7"/>
      <x:c r="H132" s="7"/>
      <x:c r="I132" s="7"/>
      <x:c r="J132" s="8"/>
      <x:c r="K132" s="7"/>
      <x:c r="L132" s="7"/>
      <x:c r="M132" s="7"/>
      <x:c r="N132" s="7"/>
      <x:c r="O132" s="7"/>
      <x:c r="P132" s="7"/>
      <x:c r="Q132" s="3" t="str">
        <x:f>IF(COUNTA(A132:P132)=0,"",IFERROR(IF(AND(A132&lt;&gt;"",COUNTIF($A$2:$A$201,A132)=1,OR(LEFT(B132,2)="V-",LEFT(B132,4)="SYN-"),LEN(MID(B132,IF(LEFT(B132,2)="V-",3,5),30))&gt;0,ISNUMBER(VALUE(MID(B132,IF(LEFT(B132,2)="V-",3,5),30))),VALUE(MID(B132,IF(LEFT(B132,2)="V-",3,5),30))&gt;=0,MOD(VALUE(MID(B132,IF(LEFT(B132,2)="V-",3,5),30)),1)=0,COUNTIFS(Slots!$A$2:$A$31,"E1",Slots!$B$2:$B$31,C132)=1,ISNUMBER(SEARCH("|"&amp;D132&amp;"|","|"&amp;Settings!$B$9&amp;"|")),OR(E132="regular",E132="first"),OR(F132="include",F132="duplicate",F132="late"),OR(H132="yes",H132="no"),OR(I132="success",I132="failed",I132="unknown",I132="not_sent"),OR(K132="yes",K132="no",K132="none",K132="conflict",K132="unknown"),OR(L132="text",L132="emoji",L132="voice",L132="none",L132="unknown"),OR(M132="yes",M132="no",M132="unknown"),OR(N132="yes",N132="no",N132="unknown"),ISNUMBER(O132),OR(O132=0,O132=1),OR(P132="",P132="soft_yes",P132="forgot",P132="time_place",P132="clash",P132="travel",P132="personal",P132="unknown",P132="silent_but_came"),OR(I132&lt;&gt;"success",AND(J132&lt;&gt;"",COUNTIFS($J$2:$J$201,J132,$I$2:$I$201,"success")=1)),OR(I132&lt;&gt;"not_sent",J132=""),IF(F132="duplicate",AND(COUNTIFS($A$2:$A$201,G132,$B$2:$B$201,B132,$C$2:$C$201,C132,$F$2:$F$201,"include")=1,H132="no",I132="not_sent",K132="none",M132="no",N132="no",O132=0),AND(G132="",N132&lt;&gt;"unknown",COUNTIFS($B$2:$B$201,B132,$F$2:$F$201,"&lt;&gt;duplicate")=1)),IF(F132="include",AND(H132="yes",K132&lt;&gt;"conflict",K132&lt;&gt;"unknown",M132&lt;&gt;"unknown",IF(OR(K132="yes",K132="no"),AND(M132="yes",OR(L132="text",L132="emoji",L132="voice")),L132="none")),TRUE),IF(F132="late",AND(H132="no",I132="not_sent",K132="none",L132="none",O132=0),TRUE)),"OK","CHECK"),"CHECK"))</x:f>
      </x:c>
      <x:c r="R132" s="3"/>
    </x:row>
    <x:row r="133" ht="22" customHeight="1">
      <x:c r="A133" s="8"/>
      <x:c r="B133" s="8"/>
      <x:c r="C133" s="8"/>
      <x:c r="D133" s="8"/>
      <x:c r="E133" s="7"/>
      <x:c r="F133" s="7"/>
      <x:c r="G133" s="7"/>
      <x:c r="H133" s="7"/>
      <x:c r="I133" s="7"/>
      <x:c r="J133" s="8"/>
      <x:c r="K133" s="7"/>
      <x:c r="L133" s="7"/>
      <x:c r="M133" s="7"/>
      <x:c r="N133" s="7"/>
      <x:c r="O133" s="7"/>
      <x:c r="P133" s="7"/>
      <x:c r="Q133" s="3" t="str">
        <x:f>IF(COUNTA(A133:P133)=0,"",IFERROR(IF(AND(A133&lt;&gt;"",COUNTIF($A$2:$A$201,A133)=1,OR(LEFT(B133,2)="V-",LEFT(B133,4)="SYN-"),LEN(MID(B133,IF(LEFT(B133,2)="V-",3,5),30))&gt;0,ISNUMBER(VALUE(MID(B133,IF(LEFT(B133,2)="V-",3,5),30))),VALUE(MID(B133,IF(LEFT(B133,2)="V-",3,5),30))&gt;=0,MOD(VALUE(MID(B133,IF(LEFT(B133,2)="V-",3,5),30)),1)=0,COUNTIFS(Slots!$A$2:$A$31,"E1",Slots!$B$2:$B$31,C133)=1,ISNUMBER(SEARCH("|"&amp;D133&amp;"|","|"&amp;Settings!$B$9&amp;"|")),OR(E133="regular",E133="first"),OR(F133="include",F133="duplicate",F133="late"),OR(H133="yes",H133="no"),OR(I133="success",I133="failed",I133="unknown",I133="not_sent"),OR(K133="yes",K133="no",K133="none",K133="conflict",K133="unknown"),OR(L133="text",L133="emoji",L133="voice",L133="none",L133="unknown"),OR(M133="yes",M133="no",M133="unknown"),OR(N133="yes",N133="no",N133="unknown"),ISNUMBER(O133),OR(O133=0,O133=1),OR(P133="",P133="soft_yes",P133="forgot",P133="time_place",P133="clash",P133="travel",P133="personal",P133="unknown",P133="silent_but_came"),OR(I133&lt;&gt;"success",AND(J133&lt;&gt;"",COUNTIFS($J$2:$J$201,J133,$I$2:$I$201,"success")=1)),OR(I133&lt;&gt;"not_sent",J133=""),IF(F133="duplicate",AND(COUNTIFS($A$2:$A$201,G133,$B$2:$B$201,B133,$C$2:$C$201,C133,$F$2:$F$201,"include")=1,H133="no",I133="not_sent",K133="none",M133="no",N133="no",O133=0),AND(G133="",N133&lt;&gt;"unknown",COUNTIFS($B$2:$B$201,B133,$F$2:$F$201,"&lt;&gt;duplicate")=1)),IF(F133="include",AND(H133="yes",K133&lt;&gt;"conflict",K133&lt;&gt;"unknown",M133&lt;&gt;"unknown",IF(OR(K133="yes",K133="no"),AND(M133="yes",OR(L133="text",L133="emoji",L133="voice")),L133="none")),TRUE),IF(F133="late",AND(H133="no",I133="not_sent",K133="none",L133="none",O133=0),TRUE)),"OK","CHECK"),"CHECK"))</x:f>
      </x:c>
      <x:c r="R133" s="3"/>
    </x:row>
    <x:row r="134" ht="22" customHeight="1">
      <x:c r="A134" s="8"/>
      <x:c r="B134" s="8"/>
      <x:c r="C134" s="8"/>
      <x:c r="D134" s="8"/>
      <x:c r="E134" s="7"/>
      <x:c r="F134" s="7"/>
      <x:c r="G134" s="7"/>
      <x:c r="H134" s="7"/>
      <x:c r="I134" s="7"/>
      <x:c r="J134" s="8"/>
      <x:c r="K134" s="7"/>
      <x:c r="L134" s="7"/>
      <x:c r="M134" s="7"/>
      <x:c r="N134" s="7"/>
      <x:c r="O134" s="7"/>
      <x:c r="P134" s="7"/>
      <x:c r="Q134" s="3" t="str">
        <x:f>IF(COUNTA(A134:P134)=0,"",IFERROR(IF(AND(A134&lt;&gt;"",COUNTIF($A$2:$A$201,A134)=1,OR(LEFT(B134,2)="V-",LEFT(B134,4)="SYN-"),LEN(MID(B134,IF(LEFT(B134,2)="V-",3,5),30))&gt;0,ISNUMBER(VALUE(MID(B134,IF(LEFT(B134,2)="V-",3,5),30))),VALUE(MID(B134,IF(LEFT(B134,2)="V-",3,5),30))&gt;=0,MOD(VALUE(MID(B134,IF(LEFT(B134,2)="V-",3,5),30)),1)=0,COUNTIFS(Slots!$A$2:$A$31,"E1",Slots!$B$2:$B$31,C134)=1,ISNUMBER(SEARCH("|"&amp;D134&amp;"|","|"&amp;Settings!$B$9&amp;"|")),OR(E134="regular",E134="first"),OR(F134="include",F134="duplicate",F134="late"),OR(H134="yes",H134="no"),OR(I134="success",I134="failed",I134="unknown",I134="not_sent"),OR(K134="yes",K134="no",K134="none",K134="conflict",K134="unknown"),OR(L134="text",L134="emoji",L134="voice",L134="none",L134="unknown"),OR(M134="yes",M134="no",M134="unknown"),OR(N134="yes",N134="no",N134="unknown"),ISNUMBER(O134),OR(O134=0,O134=1),OR(P134="",P134="soft_yes",P134="forgot",P134="time_place",P134="clash",P134="travel",P134="personal",P134="unknown",P134="silent_but_came"),OR(I134&lt;&gt;"success",AND(J134&lt;&gt;"",COUNTIFS($J$2:$J$201,J134,$I$2:$I$201,"success")=1)),OR(I134&lt;&gt;"not_sent",J134=""),IF(F134="duplicate",AND(COUNTIFS($A$2:$A$201,G134,$B$2:$B$201,B134,$C$2:$C$201,C134,$F$2:$F$201,"include")=1,H134="no",I134="not_sent",K134="none",M134="no",N134="no",O134=0),AND(G134="",N134&lt;&gt;"unknown",COUNTIFS($B$2:$B$201,B134,$F$2:$F$201,"&lt;&gt;duplicate")=1)),IF(F134="include",AND(H134="yes",K134&lt;&gt;"conflict",K134&lt;&gt;"unknown",M134&lt;&gt;"unknown",IF(OR(K134="yes",K134="no"),AND(M134="yes",OR(L134="text",L134="emoji",L134="voice")),L134="none")),TRUE),IF(F134="late",AND(H134="no",I134="not_sent",K134="none",L134="none",O134=0),TRUE)),"OK","CHECK"),"CHECK"))</x:f>
      </x:c>
      <x:c r="R134" s="3"/>
    </x:row>
    <x:row r="135" ht="22" customHeight="1">
      <x:c r="A135" s="8"/>
      <x:c r="B135" s="8"/>
      <x:c r="C135" s="8"/>
      <x:c r="D135" s="8"/>
      <x:c r="E135" s="7"/>
      <x:c r="F135" s="7"/>
      <x:c r="G135" s="7"/>
      <x:c r="H135" s="7"/>
      <x:c r="I135" s="7"/>
      <x:c r="J135" s="8"/>
      <x:c r="K135" s="7"/>
      <x:c r="L135" s="7"/>
      <x:c r="M135" s="7"/>
      <x:c r="N135" s="7"/>
      <x:c r="O135" s="7"/>
      <x:c r="P135" s="7"/>
      <x:c r="Q135" s="3" t="str">
        <x:f>IF(COUNTA(A135:P135)=0,"",IFERROR(IF(AND(A135&lt;&gt;"",COUNTIF($A$2:$A$201,A135)=1,OR(LEFT(B135,2)="V-",LEFT(B135,4)="SYN-"),LEN(MID(B135,IF(LEFT(B135,2)="V-",3,5),30))&gt;0,ISNUMBER(VALUE(MID(B135,IF(LEFT(B135,2)="V-",3,5),30))),VALUE(MID(B135,IF(LEFT(B135,2)="V-",3,5),30))&gt;=0,MOD(VALUE(MID(B135,IF(LEFT(B135,2)="V-",3,5),30)),1)=0,COUNTIFS(Slots!$A$2:$A$31,"E1",Slots!$B$2:$B$31,C135)=1,ISNUMBER(SEARCH("|"&amp;D135&amp;"|","|"&amp;Settings!$B$9&amp;"|")),OR(E135="regular",E135="first"),OR(F135="include",F135="duplicate",F135="late"),OR(H135="yes",H135="no"),OR(I135="success",I135="failed",I135="unknown",I135="not_sent"),OR(K135="yes",K135="no",K135="none",K135="conflict",K135="unknown"),OR(L135="text",L135="emoji",L135="voice",L135="none",L135="unknown"),OR(M135="yes",M135="no",M135="unknown"),OR(N135="yes",N135="no",N135="unknown"),ISNUMBER(O135),OR(O135=0,O135=1),OR(P135="",P135="soft_yes",P135="forgot",P135="time_place",P135="clash",P135="travel",P135="personal",P135="unknown",P135="silent_but_came"),OR(I135&lt;&gt;"success",AND(J135&lt;&gt;"",COUNTIFS($J$2:$J$201,J135,$I$2:$I$201,"success")=1)),OR(I135&lt;&gt;"not_sent",J135=""),IF(F135="duplicate",AND(COUNTIFS($A$2:$A$201,G135,$B$2:$B$201,B135,$C$2:$C$201,C135,$F$2:$F$201,"include")=1,H135="no",I135="not_sent",K135="none",M135="no",N135="no",O135=0),AND(G135="",N135&lt;&gt;"unknown",COUNTIFS($B$2:$B$201,B135,$F$2:$F$201,"&lt;&gt;duplicate")=1)),IF(F135="include",AND(H135="yes",K135&lt;&gt;"conflict",K135&lt;&gt;"unknown",M135&lt;&gt;"unknown",IF(OR(K135="yes",K135="no"),AND(M135="yes",OR(L135="text",L135="emoji",L135="voice")),L135="none")),TRUE),IF(F135="late",AND(H135="no",I135="not_sent",K135="none",L135="none",O135=0),TRUE)),"OK","CHECK"),"CHECK"))</x:f>
      </x:c>
      <x:c r="R135" s="3"/>
    </x:row>
    <x:row r="136" ht="22" customHeight="1">
      <x:c r="A136" s="8"/>
      <x:c r="B136" s="8"/>
      <x:c r="C136" s="8"/>
      <x:c r="D136" s="8"/>
      <x:c r="E136" s="7"/>
      <x:c r="F136" s="7"/>
      <x:c r="G136" s="7"/>
      <x:c r="H136" s="7"/>
      <x:c r="I136" s="7"/>
      <x:c r="J136" s="8"/>
      <x:c r="K136" s="7"/>
      <x:c r="L136" s="7"/>
      <x:c r="M136" s="7"/>
      <x:c r="N136" s="7"/>
      <x:c r="O136" s="7"/>
      <x:c r="P136" s="7"/>
      <x:c r="Q136" s="3" t="str">
        <x:f>IF(COUNTA(A136:P136)=0,"",IFERROR(IF(AND(A136&lt;&gt;"",COUNTIF($A$2:$A$201,A136)=1,OR(LEFT(B136,2)="V-",LEFT(B136,4)="SYN-"),LEN(MID(B136,IF(LEFT(B136,2)="V-",3,5),30))&gt;0,ISNUMBER(VALUE(MID(B136,IF(LEFT(B136,2)="V-",3,5),30))),VALUE(MID(B136,IF(LEFT(B136,2)="V-",3,5),30))&gt;=0,MOD(VALUE(MID(B136,IF(LEFT(B136,2)="V-",3,5),30)),1)=0,COUNTIFS(Slots!$A$2:$A$31,"E1",Slots!$B$2:$B$31,C136)=1,ISNUMBER(SEARCH("|"&amp;D136&amp;"|","|"&amp;Settings!$B$9&amp;"|")),OR(E136="regular",E136="first"),OR(F136="include",F136="duplicate",F136="late"),OR(H136="yes",H136="no"),OR(I136="success",I136="failed",I136="unknown",I136="not_sent"),OR(K136="yes",K136="no",K136="none",K136="conflict",K136="unknown"),OR(L136="text",L136="emoji",L136="voice",L136="none",L136="unknown"),OR(M136="yes",M136="no",M136="unknown"),OR(N136="yes",N136="no",N136="unknown"),ISNUMBER(O136),OR(O136=0,O136=1),OR(P136="",P136="soft_yes",P136="forgot",P136="time_place",P136="clash",P136="travel",P136="personal",P136="unknown",P136="silent_but_came"),OR(I136&lt;&gt;"success",AND(J136&lt;&gt;"",COUNTIFS($J$2:$J$201,J136,$I$2:$I$201,"success")=1)),OR(I136&lt;&gt;"not_sent",J136=""),IF(F136="duplicate",AND(COUNTIFS($A$2:$A$201,G136,$B$2:$B$201,B136,$C$2:$C$201,C136,$F$2:$F$201,"include")=1,H136="no",I136="not_sent",K136="none",M136="no",N136="no",O136=0),AND(G136="",N136&lt;&gt;"unknown",COUNTIFS($B$2:$B$201,B136,$F$2:$F$201,"&lt;&gt;duplicate")=1)),IF(F136="include",AND(H136="yes",K136&lt;&gt;"conflict",K136&lt;&gt;"unknown",M136&lt;&gt;"unknown",IF(OR(K136="yes",K136="no"),AND(M136="yes",OR(L136="text",L136="emoji",L136="voice")),L136="none")),TRUE),IF(F136="late",AND(H136="no",I136="not_sent",K136="none",L136="none",O136=0),TRUE)),"OK","CHECK"),"CHECK"))</x:f>
      </x:c>
      <x:c r="R136" s="3"/>
    </x:row>
    <x:row r="137" ht="22" customHeight="1">
      <x:c r="A137" s="8"/>
      <x:c r="B137" s="8"/>
      <x:c r="C137" s="8"/>
      <x:c r="D137" s="8"/>
      <x:c r="E137" s="7"/>
      <x:c r="F137" s="7"/>
      <x:c r="G137" s="7"/>
      <x:c r="H137" s="7"/>
      <x:c r="I137" s="7"/>
      <x:c r="J137" s="8"/>
      <x:c r="K137" s="7"/>
      <x:c r="L137" s="7"/>
      <x:c r="M137" s="7"/>
      <x:c r="N137" s="7"/>
      <x:c r="O137" s="7"/>
      <x:c r="P137" s="7"/>
      <x:c r="Q137" s="3" t="str">
        <x:f>IF(COUNTA(A137:P137)=0,"",IFERROR(IF(AND(A137&lt;&gt;"",COUNTIF($A$2:$A$201,A137)=1,OR(LEFT(B137,2)="V-",LEFT(B137,4)="SYN-"),LEN(MID(B137,IF(LEFT(B137,2)="V-",3,5),30))&gt;0,ISNUMBER(VALUE(MID(B137,IF(LEFT(B137,2)="V-",3,5),30))),VALUE(MID(B137,IF(LEFT(B137,2)="V-",3,5),30))&gt;=0,MOD(VALUE(MID(B137,IF(LEFT(B137,2)="V-",3,5),30)),1)=0,COUNTIFS(Slots!$A$2:$A$31,"E1",Slots!$B$2:$B$31,C137)=1,ISNUMBER(SEARCH("|"&amp;D137&amp;"|","|"&amp;Settings!$B$9&amp;"|")),OR(E137="regular",E137="first"),OR(F137="include",F137="duplicate",F137="late"),OR(H137="yes",H137="no"),OR(I137="success",I137="failed",I137="unknown",I137="not_sent"),OR(K137="yes",K137="no",K137="none",K137="conflict",K137="unknown"),OR(L137="text",L137="emoji",L137="voice",L137="none",L137="unknown"),OR(M137="yes",M137="no",M137="unknown"),OR(N137="yes",N137="no",N137="unknown"),ISNUMBER(O137),OR(O137=0,O137=1),OR(P137="",P137="soft_yes",P137="forgot",P137="time_place",P137="clash",P137="travel",P137="personal",P137="unknown",P137="silent_but_came"),OR(I137&lt;&gt;"success",AND(J137&lt;&gt;"",COUNTIFS($J$2:$J$201,J137,$I$2:$I$201,"success")=1)),OR(I137&lt;&gt;"not_sent",J137=""),IF(F137="duplicate",AND(COUNTIFS($A$2:$A$201,G137,$B$2:$B$201,B137,$C$2:$C$201,C137,$F$2:$F$201,"include")=1,H137="no",I137="not_sent",K137="none",M137="no",N137="no",O137=0),AND(G137="",N137&lt;&gt;"unknown",COUNTIFS($B$2:$B$201,B137,$F$2:$F$201,"&lt;&gt;duplicate")=1)),IF(F137="include",AND(H137="yes",K137&lt;&gt;"conflict",K137&lt;&gt;"unknown",M137&lt;&gt;"unknown",IF(OR(K137="yes",K137="no"),AND(M137="yes",OR(L137="text",L137="emoji",L137="voice")),L137="none")),TRUE),IF(F137="late",AND(H137="no",I137="not_sent",K137="none",L137="none",O137=0),TRUE)),"OK","CHECK"),"CHECK"))</x:f>
      </x:c>
      <x:c r="R137" s="3"/>
    </x:row>
    <x:row r="138" ht="22" customHeight="1">
      <x:c r="A138" s="8"/>
      <x:c r="B138" s="8"/>
      <x:c r="C138" s="8"/>
      <x:c r="D138" s="8"/>
      <x:c r="E138" s="7"/>
      <x:c r="F138" s="7"/>
      <x:c r="G138" s="7"/>
      <x:c r="H138" s="7"/>
      <x:c r="I138" s="7"/>
      <x:c r="J138" s="8"/>
      <x:c r="K138" s="7"/>
      <x:c r="L138" s="7"/>
      <x:c r="M138" s="7"/>
      <x:c r="N138" s="7"/>
      <x:c r="O138" s="7"/>
      <x:c r="P138" s="7"/>
      <x:c r="Q138" s="3" t="str">
        <x:f>IF(COUNTA(A138:P138)=0,"",IFERROR(IF(AND(A138&lt;&gt;"",COUNTIF($A$2:$A$201,A138)=1,OR(LEFT(B138,2)="V-",LEFT(B138,4)="SYN-"),LEN(MID(B138,IF(LEFT(B138,2)="V-",3,5),30))&gt;0,ISNUMBER(VALUE(MID(B138,IF(LEFT(B138,2)="V-",3,5),30))),VALUE(MID(B138,IF(LEFT(B138,2)="V-",3,5),30))&gt;=0,MOD(VALUE(MID(B138,IF(LEFT(B138,2)="V-",3,5),30)),1)=0,COUNTIFS(Slots!$A$2:$A$31,"E1",Slots!$B$2:$B$31,C138)=1,ISNUMBER(SEARCH("|"&amp;D138&amp;"|","|"&amp;Settings!$B$9&amp;"|")),OR(E138="regular",E138="first"),OR(F138="include",F138="duplicate",F138="late"),OR(H138="yes",H138="no"),OR(I138="success",I138="failed",I138="unknown",I138="not_sent"),OR(K138="yes",K138="no",K138="none",K138="conflict",K138="unknown"),OR(L138="text",L138="emoji",L138="voice",L138="none",L138="unknown"),OR(M138="yes",M138="no",M138="unknown"),OR(N138="yes",N138="no",N138="unknown"),ISNUMBER(O138),OR(O138=0,O138=1),OR(P138="",P138="soft_yes",P138="forgot",P138="time_place",P138="clash",P138="travel",P138="personal",P138="unknown",P138="silent_but_came"),OR(I138&lt;&gt;"success",AND(J138&lt;&gt;"",COUNTIFS($J$2:$J$201,J138,$I$2:$I$201,"success")=1)),OR(I138&lt;&gt;"not_sent",J138=""),IF(F138="duplicate",AND(COUNTIFS($A$2:$A$201,G138,$B$2:$B$201,B138,$C$2:$C$201,C138,$F$2:$F$201,"include")=1,H138="no",I138="not_sent",K138="none",M138="no",N138="no",O138=0),AND(G138="",N138&lt;&gt;"unknown",COUNTIFS($B$2:$B$201,B138,$F$2:$F$201,"&lt;&gt;duplicate")=1)),IF(F138="include",AND(H138="yes",K138&lt;&gt;"conflict",K138&lt;&gt;"unknown",M138&lt;&gt;"unknown",IF(OR(K138="yes",K138="no"),AND(M138="yes",OR(L138="text",L138="emoji",L138="voice")),L138="none")),TRUE),IF(F138="late",AND(H138="no",I138="not_sent",K138="none",L138="none",O138=0),TRUE)),"OK","CHECK"),"CHECK"))</x:f>
      </x:c>
      <x:c r="R138" s="3"/>
    </x:row>
    <x:row r="139" ht="22" customHeight="1">
      <x:c r="A139" s="8"/>
      <x:c r="B139" s="8"/>
      <x:c r="C139" s="8"/>
      <x:c r="D139" s="8"/>
      <x:c r="E139" s="7"/>
      <x:c r="F139" s="7"/>
      <x:c r="G139" s="7"/>
      <x:c r="H139" s="7"/>
      <x:c r="I139" s="7"/>
      <x:c r="J139" s="8"/>
      <x:c r="K139" s="7"/>
      <x:c r="L139" s="7"/>
      <x:c r="M139" s="7"/>
      <x:c r="N139" s="7"/>
      <x:c r="O139" s="7"/>
      <x:c r="P139" s="7"/>
      <x:c r="Q139" s="3" t="str">
        <x:f>IF(COUNTA(A139:P139)=0,"",IFERROR(IF(AND(A139&lt;&gt;"",COUNTIF($A$2:$A$201,A139)=1,OR(LEFT(B139,2)="V-",LEFT(B139,4)="SYN-"),LEN(MID(B139,IF(LEFT(B139,2)="V-",3,5),30))&gt;0,ISNUMBER(VALUE(MID(B139,IF(LEFT(B139,2)="V-",3,5),30))),VALUE(MID(B139,IF(LEFT(B139,2)="V-",3,5),30))&gt;=0,MOD(VALUE(MID(B139,IF(LEFT(B139,2)="V-",3,5),30)),1)=0,COUNTIFS(Slots!$A$2:$A$31,"E1",Slots!$B$2:$B$31,C139)=1,ISNUMBER(SEARCH("|"&amp;D139&amp;"|","|"&amp;Settings!$B$9&amp;"|")),OR(E139="regular",E139="first"),OR(F139="include",F139="duplicate",F139="late"),OR(H139="yes",H139="no"),OR(I139="success",I139="failed",I139="unknown",I139="not_sent"),OR(K139="yes",K139="no",K139="none",K139="conflict",K139="unknown"),OR(L139="text",L139="emoji",L139="voice",L139="none",L139="unknown"),OR(M139="yes",M139="no",M139="unknown"),OR(N139="yes",N139="no",N139="unknown"),ISNUMBER(O139),OR(O139=0,O139=1),OR(P139="",P139="soft_yes",P139="forgot",P139="time_place",P139="clash",P139="travel",P139="personal",P139="unknown",P139="silent_but_came"),OR(I139&lt;&gt;"success",AND(J139&lt;&gt;"",COUNTIFS($J$2:$J$201,J139,$I$2:$I$201,"success")=1)),OR(I139&lt;&gt;"not_sent",J139=""),IF(F139="duplicate",AND(COUNTIFS($A$2:$A$201,G139,$B$2:$B$201,B139,$C$2:$C$201,C139,$F$2:$F$201,"include")=1,H139="no",I139="not_sent",K139="none",M139="no",N139="no",O139=0),AND(G139="",N139&lt;&gt;"unknown",COUNTIFS($B$2:$B$201,B139,$F$2:$F$201,"&lt;&gt;duplicate")=1)),IF(F139="include",AND(H139="yes",K139&lt;&gt;"conflict",K139&lt;&gt;"unknown",M139&lt;&gt;"unknown",IF(OR(K139="yes",K139="no"),AND(M139="yes",OR(L139="text",L139="emoji",L139="voice")),L139="none")),TRUE),IF(F139="late",AND(H139="no",I139="not_sent",K139="none",L139="none",O139=0),TRUE)),"OK","CHECK"),"CHECK"))</x:f>
      </x:c>
      <x:c r="R139" s="3"/>
    </x:row>
    <x:row r="140" ht="22" customHeight="1">
      <x:c r="A140" s="8"/>
      <x:c r="B140" s="8"/>
      <x:c r="C140" s="8"/>
      <x:c r="D140" s="8"/>
      <x:c r="E140" s="7"/>
      <x:c r="F140" s="7"/>
      <x:c r="G140" s="7"/>
      <x:c r="H140" s="7"/>
      <x:c r="I140" s="7"/>
      <x:c r="J140" s="8"/>
      <x:c r="K140" s="7"/>
      <x:c r="L140" s="7"/>
      <x:c r="M140" s="7"/>
      <x:c r="N140" s="7"/>
      <x:c r="O140" s="7"/>
      <x:c r="P140" s="7"/>
      <x:c r="Q140" s="3" t="str">
        <x:f>IF(COUNTA(A140:P140)=0,"",IFERROR(IF(AND(A140&lt;&gt;"",COUNTIF($A$2:$A$201,A140)=1,OR(LEFT(B140,2)="V-",LEFT(B140,4)="SYN-"),LEN(MID(B140,IF(LEFT(B140,2)="V-",3,5),30))&gt;0,ISNUMBER(VALUE(MID(B140,IF(LEFT(B140,2)="V-",3,5),30))),VALUE(MID(B140,IF(LEFT(B140,2)="V-",3,5),30))&gt;=0,MOD(VALUE(MID(B140,IF(LEFT(B140,2)="V-",3,5),30)),1)=0,COUNTIFS(Slots!$A$2:$A$31,"E1",Slots!$B$2:$B$31,C140)=1,ISNUMBER(SEARCH("|"&amp;D140&amp;"|","|"&amp;Settings!$B$9&amp;"|")),OR(E140="regular",E140="first"),OR(F140="include",F140="duplicate",F140="late"),OR(H140="yes",H140="no"),OR(I140="success",I140="failed",I140="unknown",I140="not_sent"),OR(K140="yes",K140="no",K140="none",K140="conflict",K140="unknown"),OR(L140="text",L140="emoji",L140="voice",L140="none",L140="unknown"),OR(M140="yes",M140="no",M140="unknown"),OR(N140="yes",N140="no",N140="unknown"),ISNUMBER(O140),OR(O140=0,O140=1),OR(P140="",P140="soft_yes",P140="forgot",P140="time_place",P140="clash",P140="travel",P140="personal",P140="unknown",P140="silent_but_came"),OR(I140&lt;&gt;"success",AND(J140&lt;&gt;"",COUNTIFS($J$2:$J$201,J140,$I$2:$I$201,"success")=1)),OR(I140&lt;&gt;"not_sent",J140=""),IF(F140="duplicate",AND(COUNTIFS($A$2:$A$201,G140,$B$2:$B$201,B140,$C$2:$C$201,C140,$F$2:$F$201,"include")=1,H140="no",I140="not_sent",K140="none",M140="no",N140="no",O140=0),AND(G140="",N140&lt;&gt;"unknown",COUNTIFS($B$2:$B$201,B140,$F$2:$F$201,"&lt;&gt;duplicate")=1)),IF(F140="include",AND(H140="yes",K140&lt;&gt;"conflict",K140&lt;&gt;"unknown",M140&lt;&gt;"unknown",IF(OR(K140="yes",K140="no"),AND(M140="yes",OR(L140="text",L140="emoji",L140="voice")),L140="none")),TRUE),IF(F140="late",AND(H140="no",I140="not_sent",K140="none",L140="none",O140=0),TRUE)),"OK","CHECK"),"CHECK"))</x:f>
      </x:c>
      <x:c r="R140" s="3"/>
    </x:row>
    <x:row r="141" ht="22" customHeight="1">
      <x:c r="A141" s="8"/>
      <x:c r="B141" s="8"/>
      <x:c r="C141" s="8"/>
      <x:c r="D141" s="8"/>
      <x:c r="E141" s="7"/>
      <x:c r="F141" s="7"/>
      <x:c r="G141" s="7"/>
      <x:c r="H141" s="7"/>
      <x:c r="I141" s="7"/>
      <x:c r="J141" s="8"/>
      <x:c r="K141" s="7"/>
      <x:c r="L141" s="7"/>
      <x:c r="M141" s="7"/>
      <x:c r="N141" s="7"/>
      <x:c r="O141" s="7"/>
      <x:c r="P141" s="7"/>
      <x:c r="Q141" s="3" t="str">
        <x:f>IF(COUNTA(A141:P141)=0,"",IFERROR(IF(AND(A141&lt;&gt;"",COUNTIF($A$2:$A$201,A141)=1,OR(LEFT(B141,2)="V-",LEFT(B141,4)="SYN-"),LEN(MID(B141,IF(LEFT(B141,2)="V-",3,5),30))&gt;0,ISNUMBER(VALUE(MID(B141,IF(LEFT(B141,2)="V-",3,5),30))),VALUE(MID(B141,IF(LEFT(B141,2)="V-",3,5),30))&gt;=0,MOD(VALUE(MID(B141,IF(LEFT(B141,2)="V-",3,5),30)),1)=0,COUNTIFS(Slots!$A$2:$A$31,"E1",Slots!$B$2:$B$31,C141)=1,ISNUMBER(SEARCH("|"&amp;D141&amp;"|","|"&amp;Settings!$B$9&amp;"|")),OR(E141="regular",E141="first"),OR(F141="include",F141="duplicate",F141="late"),OR(H141="yes",H141="no"),OR(I141="success",I141="failed",I141="unknown",I141="not_sent"),OR(K141="yes",K141="no",K141="none",K141="conflict",K141="unknown"),OR(L141="text",L141="emoji",L141="voice",L141="none",L141="unknown"),OR(M141="yes",M141="no",M141="unknown"),OR(N141="yes",N141="no",N141="unknown"),ISNUMBER(O141),OR(O141=0,O141=1),OR(P141="",P141="soft_yes",P141="forgot",P141="time_place",P141="clash",P141="travel",P141="personal",P141="unknown",P141="silent_but_came"),OR(I141&lt;&gt;"success",AND(J141&lt;&gt;"",COUNTIFS($J$2:$J$201,J141,$I$2:$I$201,"success")=1)),OR(I141&lt;&gt;"not_sent",J141=""),IF(F141="duplicate",AND(COUNTIFS($A$2:$A$201,G141,$B$2:$B$201,B141,$C$2:$C$201,C141,$F$2:$F$201,"include")=1,H141="no",I141="not_sent",K141="none",M141="no",N141="no",O141=0),AND(G141="",N141&lt;&gt;"unknown",COUNTIFS($B$2:$B$201,B141,$F$2:$F$201,"&lt;&gt;duplicate")=1)),IF(F141="include",AND(H141="yes",K141&lt;&gt;"conflict",K141&lt;&gt;"unknown",M141&lt;&gt;"unknown",IF(OR(K141="yes",K141="no"),AND(M141="yes",OR(L141="text",L141="emoji",L141="voice")),L141="none")),TRUE),IF(F141="late",AND(H141="no",I141="not_sent",K141="none",L141="none",O141=0),TRUE)),"OK","CHECK"),"CHECK"))</x:f>
      </x:c>
      <x:c r="R141" s="3"/>
    </x:row>
    <x:row r="142" ht="22" customHeight="1">
      <x:c r="A142" s="8"/>
      <x:c r="B142" s="8"/>
      <x:c r="C142" s="8"/>
      <x:c r="D142" s="8"/>
      <x:c r="E142" s="7"/>
      <x:c r="F142" s="7"/>
      <x:c r="G142" s="7"/>
      <x:c r="H142" s="7"/>
      <x:c r="I142" s="7"/>
      <x:c r="J142" s="8"/>
      <x:c r="K142" s="7"/>
      <x:c r="L142" s="7"/>
      <x:c r="M142" s="7"/>
      <x:c r="N142" s="7"/>
      <x:c r="O142" s="7"/>
      <x:c r="P142" s="7"/>
      <x:c r="Q142" s="3" t="str">
        <x:f>IF(COUNTA(A142:P142)=0,"",IFERROR(IF(AND(A142&lt;&gt;"",COUNTIF($A$2:$A$201,A142)=1,OR(LEFT(B142,2)="V-",LEFT(B142,4)="SYN-"),LEN(MID(B142,IF(LEFT(B142,2)="V-",3,5),30))&gt;0,ISNUMBER(VALUE(MID(B142,IF(LEFT(B142,2)="V-",3,5),30))),VALUE(MID(B142,IF(LEFT(B142,2)="V-",3,5),30))&gt;=0,MOD(VALUE(MID(B142,IF(LEFT(B142,2)="V-",3,5),30)),1)=0,COUNTIFS(Slots!$A$2:$A$31,"E1",Slots!$B$2:$B$31,C142)=1,ISNUMBER(SEARCH("|"&amp;D142&amp;"|","|"&amp;Settings!$B$9&amp;"|")),OR(E142="regular",E142="first"),OR(F142="include",F142="duplicate",F142="late"),OR(H142="yes",H142="no"),OR(I142="success",I142="failed",I142="unknown",I142="not_sent"),OR(K142="yes",K142="no",K142="none",K142="conflict",K142="unknown"),OR(L142="text",L142="emoji",L142="voice",L142="none",L142="unknown"),OR(M142="yes",M142="no",M142="unknown"),OR(N142="yes",N142="no",N142="unknown"),ISNUMBER(O142),OR(O142=0,O142=1),OR(P142="",P142="soft_yes",P142="forgot",P142="time_place",P142="clash",P142="travel",P142="personal",P142="unknown",P142="silent_but_came"),OR(I142&lt;&gt;"success",AND(J142&lt;&gt;"",COUNTIFS($J$2:$J$201,J142,$I$2:$I$201,"success")=1)),OR(I142&lt;&gt;"not_sent",J142=""),IF(F142="duplicate",AND(COUNTIFS($A$2:$A$201,G142,$B$2:$B$201,B142,$C$2:$C$201,C142,$F$2:$F$201,"include")=1,H142="no",I142="not_sent",K142="none",M142="no",N142="no",O142=0),AND(G142="",N142&lt;&gt;"unknown",COUNTIFS($B$2:$B$201,B142,$F$2:$F$201,"&lt;&gt;duplicate")=1)),IF(F142="include",AND(H142="yes",K142&lt;&gt;"conflict",K142&lt;&gt;"unknown",M142&lt;&gt;"unknown",IF(OR(K142="yes",K142="no"),AND(M142="yes",OR(L142="text",L142="emoji",L142="voice")),L142="none")),TRUE),IF(F142="late",AND(H142="no",I142="not_sent",K142="none",L142="none",O142=0),TRUE)),"OK","CHECK"),"CHECK"))</x:f>
      </x:c>
      <x:c r="R142" s="3"/>
    </x:row>
    <x:row r="143" ht="22" customHeight="1">
      <x:c r="A143" s="8"/>
      <x:c r="B143" s="8"/>
      <x:c r="C143" s="8"/>
      <x:c r="D143" s="8"/>
      <x:c r="E143" s="7"/>
      <x:c r="F143" s="7"/>
      <x:c r="G143" s="7"/>
      <x:c r="H143" s="7"/>
      <x:c r="I143" s="7"/>
      <x:c r="J143" s="8"/>
      <x:c r="K143" s="7"/>
      <x:c r="L143" s="7"/>
      <x:c r="M143" s="7"/>
      <x:c r="N143" s="7"/>
      <x:c r="O143" s="7"/>
      <x:c r="P143" s="7"/>
      <x:c r="Q143" s="3" t="str">
        <x:f>IF(COUNTA(A143:P143)=0,"",IFERROR(IF(AND(A143&lt;&gt;"",COUNTIF($A$2:$A$201,A143)=1,OR(LEFT(B143,2)="V-",LEFT(B143,4)="SYN-"),LEN(MID(B143,IF(LEFT(B143,2)="V-",3,5),30))&gt;0,ISNUMBER(VALUE(MID(B143,IF(LEFT(B143,2)="V-",3,5),30))),VALUE(MID(B143,IF(LEFT(B143,2)="V-",3,5),30))&gt;=0,MOD(VALUE(MID(B143,IF(LEFT(B143,2)="V-",3,5),30)),1)=0,COUNTIFS(Slots!$A$2:$A$31,"E1",Slots!$B$2:$B$31,C143)=1,ISNUMBER(SEARCH("|"&amp;D143&amp;"|","|"&amp;Settings!$B$9&amp;"|")),OR(E143="regular",E143="first"),OR(F143="include",F143="duplicate",F143="late"),OR(H143="yes",H143="no"),OR(I143="success",I143="failed",I143="unknown",I143="not_sent"),OR(K143="yes",K143="no",K143="none",K143="conflict",K143="unknown"),OR(L143="text",L143="emoji",L143="voice",L143="none",L143="unknown"),OR(M143="yes",M143="no",M143="unknown"),OR(N143="yes",N143="no",N143="unknown"),ISNUMBER(O143),OR(O143=0,O143=1),OR(P143="",P143="soft_yes",P143="forgot",P143="time_place",P143="clash",P143="travel",P143="personal",P143="unknown",P143="silent_but_came"),OR(I143&lt;&gt;"success",AND(J143&lt;&gt;"",COUNTIFS($J$2:$J$201,J143,$I$2:$I$201,"success")=1)),OR(I143&lt;&gt;"not_sent",J143=""),IF(F143="duplicate",AND(COUNTIFS($A$2:$A$201,G143,$B$2:$B$201,B143,$C$2:$C$201,C143,$F$2:$F$201,"include")=1,H143="no",I143="not_sent",K143="none",M143="no",N143="no",O143=0),AND(G143="",N143&lt;&gt;"unknown",COUNTIFS($B$2:$B$201,B143,$F$2:$F$201,"&lt;&gt;duplicate")=1)),IF(F143="include",AND(H143="yes",K143&lt;&gt;"conflict",K143&lt;&gt;"unknown",M143&lt;&gt;"unknown",IF(OR(K143="yes",K143="no"),AND(M143="yes",OR(L143="text",L143="emoji",L143="voice")),L143="none")),TRUE),IF(F143="late",AND(H143="no",I143="not_sent",K143="none",L143="none",O143=0),TRUE)),"OK","CHECK"),"CHECK"))</x:f>
      </x:c>
      <x:c r="R143" s="3"/>
    </x:row>
    <x:row r="144" ht="22" customHeight="1">
      <x:c r="A144" s="8"/>
      <x:c r="B144" s="8"/>
      <x:c r="C144" s="8"/>
      <x:c r="D144" s="8"/>
      <x:c r="E144" s="7"/>
      <x:c r="F144" s="7"/>
      <x:c r="G144" s="7"/>
      <x:c r="H144" s="7"/>
      <x:c r="I144" s="7"/>
      <x:c r="J144" s="8"/>
      <x:c r="K144" s="7"/>
      <x:c r="L144" s="7"/>
      <x:c r="M144" s="7"/>
      <x:c r="N144" s="7"/>
      <x:c r="O144" s="7"/>
      <x:c r="P144" s="7"/>
      <x:c r="Q144" s="3" t="str">
        <x:f>IF(COUNTA(A144:P144)=0,"",IFERROR(IF(AND(A144&lt;&gt;"",COUNTIF($A$2:$A$201,A144)=1,OR(LEFT(B144,2)="V-",LEFT(B144,4)="SYN-"),LEN(MID(B144,IF(LEFT(B144,2)="V-",3,5),30))&gt;0,ISNUMBER(VALUE(MID(B144,IF(LEFT(B144,2)="V-",3,5),30))),VALUE(MID(B144,IF(LEFT(B144,2)="V-",3,5),30))&gt;=0,MOD(VALUE(MID(B144,IF(LEFT(B144,2)="V-",3,5),30)),1)=0,COUNTIFS(Slots!$A$2:$A$31,"E1",Slots!$B$2:$B$31,C144)=1,ISNUMBER(SEARCH("|"&amp;D144&amp;"|","|"&amp;Settings!$B$9&amp;"|")),OR(E144="regular",E144="first"),OR(F144="include",F144="duplicate",F144="late"),OR(H144="yes",H144="no"),OR(I144="success",I144="failed",I144="unknown",I144="not_sent"),OR(K144="yes",K144="no",K144="none",K144="conflict",K144="unknown"),OR(L144="text",L144="emoji",L144="voice",L144="none",L144="unknown"),OR(M144="yes",M144="no",M144="unknown"),OR(N144="yes",N144="no",N144="unknown"),ISNUMBER(O144),OR(O144=0,O144=1),OR(P144="",P144="soft_yes",P144="forgot",P144="time_place",P144="clash",P144="travel",P144="personal",P144="unknown",P144="silent_but_came"),OR(I144&lt;&gt;"success",AND(J144&lt;&gt;"",COUNTIFS($J$2:$J$201,J144,$I$2:$I$201,"success")=1)),OR(I144&lt;&gt;"not_sent",J144=""),IF(F144="duplicate",AND(COUNTIFS($A$2:$A$201,G144,$B$2:$B$201,B144,$C$2:$C$201,C144,$F$2:$F$201,"include")=1,H144="no",I144="not_sent",K144="none",M144="no",N144="no",O144=0),AND(G144="",N144&lt;&gt;"unknown",COUNTIFS($B$2:$B$201,B144,$F$2:$F$201,"&lt;&gt;duplicate")=1)),IF(F144="include",AND(H144="yes",K144&lt;&gt;"conflict",K144&lt;&gt;"unknown",M144&lt;&gt;"unknown",IF(OR(K144="yes",K144="no"),AND(M144="yes",OR(L144="text",L144="emoji",L144="voice")),L144="none")),TRUE),IF(F144="late",AND(H144="no",I144="not_sent",K144="none",L144="none",O144=0),TRUE)),"OK","CHECK"),"CHECK"))</x:f>
      </x:c>
      <x:c r="R144" s="3"/>
    </x:row>
    <x:row r="145" ht="22" customHeight="1">
      <x:c r="A145" s="8"/>
      <x:c r="B145" s="8"/>
      <x:c r="C145" s="8"/>
      <x:c r="D145" s="8"/>
      <x:c r="E145" s="7"/>
      <x:c r="F145" s="7"/>
      <x:c r="G145" s="7"/>
      <x:c r="H145" s="7"/>
      <x:c r="I145" s="7"/>
      <x:c r="J145" s="8"/>
      <x:c r="K145" s="7"/>
      <x:c r="L145" s="7"/>
      <x:c r="M145" s="7"/>
      <x:c r="N145" s="7"/>
      <x:c r="O145" s="7"/>
      <x:c r="P145" s="7"/>
      <x:c r="Q145" s="3" t="str">
        <x:f>IF(COUNTA(A145:P145)=0,"",IFERROR(IF(AND(A145&lt;&gt;"",COUNTIF($A$2:$A$201,A145)=1,OR(LEFT(B145,2)="V-",LEFT(B145,4)="SYN-"),LEN(MID(B145,IF(LEFT(B145,2)="V-",3,5),30))&gt;0,ISNUMBER(VALUE(MID(B145,IF(LEFT(B145,2)="V-",3,5),30))),VALUE(MID(B145,IF(LEFT(B145,2)="V-",3,5),30))&gt;=0,MOD(VALUE(MID(B145,IF(LEFT(B145,2)="V-",3,5),30)),1)=0,COUNTIFS(Slots!$A$2:$A$31,"E1",Slots!$B$2:$B$31,C145)=1,ISNUMBER(SEARCH("|"&amp;D145&amp;"|","|"&amp;Settings!$B$9&amp;"|")),OR(E145="regular",E145="first"),OR(F145="include",F145="duplicate",F145="late"),OR(H145="yes",H145="no"),OR(I145="success",I145="failed",I145="unknown",I145="not_sent"),OR(K145="yes",K145="no",K145="none",K145="conflict",K145="unknown"),OR(L145="text",L145="emoji",L145="voice",L145="none",L145="unknown"),OR(M145="yes",M145="no",M145="unknown"),OR(N145="yes",N145="no",N145="unknown"),ISNUMBER(O145),OR(O145=0,O145=1),OR(P145="",P145="soft_yes",P145="forgot",P145="time_place",P145="clash",P145="travel",P145="personal",P145="unknown",P145="silent_but_came"),OR(I145&lt;&gt;"success",AND(J145&lt;&gt;"",COUNTIFS($J$2:$J$201,J145,$I$2:$I$201,"success")=1)),OR(I145&lt;&gt;"not_sent",J145=""),IF(F145="duplicate",AND(COUNTIFS($A$2:$A$201,G145,$B$2:$B$201,B145,$C$2:$C$201,C145,$F$2:$F$201,"include")=1,H145="no",I145="not_sent",K145="none",M145="no",N145="no",O145=0),AND(G145="",N145&lt;&gt;"unknown",COUNTIFS($B$2:$B$201,B145,$F$2:$F$201,"&lt;&gt;duplicate")=1)),IF(F145="include",AND(H145="yes",K145&lt;&gt;"conflict",K145&lt;&gt;"unknown",M145&lt;&gt;"unknown",IF(OR(K145="yes",K145="no"),AND(M145="yes",OR(L145="text",L145="emoji",L145="voice")),L145="none")),TRUE),IF(F145="late",AND(H145="no",I145="not_sent",K145="none",L145="none",O145=0),TRUE)),"OK","CHECK"),"CHECK"))</x:f>
      </x:c>
      <x:c r="R145" s="3"/>
    </x:row>
    <x:row r="146" ht="22" customHeight="1">
      <x:c r="A146" s="8"/>
      <x:c r="B146" s="8"/>
      <x:c r="C146" s="8"/>
      <x:c r="D146" s="8"/>
      <x:c r="E146" s="7"/>
      <x:c r="F146" s="7"/>
      <x:c r="G146" s="7"/>
      <x:c r="H146" s="7"/>
      <x:c r="I146" s="7"/>
      <x:c r="J146" s="8"/>
      <x:c r="K146" s="7"/>
      <x:c r="L146" s="7"/>
      <x:c r="M146" s="7"/>
      <x:c r="N146" s="7"/>
      <x:c r="O146" s="7"/>
      <x:c r="P146" s="7"/>
      <x:c r="Q146" s="3" t="str">
        <x:f>IF(COUNTA(A146:P146)=0,"",IFERROR(IF(AND(A146&lt;&gt;"",COUNTIF($A$2:$A$201,A146)=1,OR(LEFT(B146,2)="V-",LEFT(B146,4)="SYN-"),LEN(MID(B146,IF(LEFT(B146,2)="V-",3,5),30))&gt;0,ISNUMBER(VALUE(MID(B146,IF(LEFT(B146,2)="V-",3,5),30))),VALUE(MID(B146,IF(LEFT(B146,2)="V-",3,5),30))&gt;=0,MOD(VALUE(MID(B146,IF(LEFT(B146,2)="V-",3,5),30)),1)=0,COUNTIFS(Slots!$A$2:$A$31,"E1",Slots!$B$2:$B$31,C146)=1,ISNUMBER(SEARCH("|"&amp;D146&amp;"|","|"&amp;Settings!$B$9&amp;"|")),OR(E146="regular",E146="first"),OR(F146="include",F146="duplicate",F146="late"),OR(H146="yes",H146="no"),OR(I146="success",I146="failed",I146="unknown",I146="not_sent"),OR(K146="yes",K146="no",K146="none",K146="conflict",K146="unknown"),OR(L146="text",L146="emoji",L146="voice",L146="none",L146="unknown"),OR(M146="yes",M146="no",M146="unknown"),OR(N146="yes",N146="no",N146="unknown"),ISNUMBER(O146),OR(O146=0,O146=1),OR(P146="",P146="soft_yes",P146="forgot",P146="time_place",P146="clash",P146="travel",P146="personal",P146="unknown",P146="silent_but_came"),OR(I146&lt;&gt;"success",AND(J146&lt;&gt;"",COUNTIFS($J$2:$J$201,J146,$I$2:$I$201,"success")=1)),OR(I146&lt;&gt;"not_sent",J146=""),IF(F146="duplicate",AND(COUNTIFS($A$2:$A$201,G146,$B$2:$B$201,B146,$C$2:$C$201,C146,$F$2:$F$201,"include")=1,H146="no",I146="not_sent",K146="none",M146="no",N146="no",O146=0),AND(G146="",N146&lt;&gt;"unknown",COUNTIFS($B$2:$B$201,B146,$F$2:$F$201,"&lt;&gt;duplicate")=1)),IF(F146="include",AND(H146="yes",K146&lt;&gt;"conflict",K146&lt;&gt;"unknown",M146&lt;&gt;"unknown",IF(OR(K146="yes",K146="no"),AND(M146="yes",OR(L146="text",L146="emoji",L146="voice")),L146="none")),TRUE),IF(F146="late",AND(H146="no",I146="not_sent",K146="none",L146="none",O146=0),TRUE)),"OK","CHECK"),"CHECK"))</x:f>
      </x:c>
      <x:c r="R146" s="3"/>
    </x:row>
    <x:row r="147" ht="22" customHeight="1">
      <x:c r="A147" s="8"/>
      <x:c r="B147" s="8"/>
      <x:c r="C147" s="8"/>
      <x:c r="D147" s="8"/>
      <x:c r="E147" s="7"/>
      <x:c r="F147" s="7"/>
      <x:c r="G147" s="7"/>
      <x:c r="H147" s="7"/>
      <x:c r="I147" s="7"/>
      <x:c r="J147" s="8"/>
      <x:c r="K147" s="7"/>
      <x:c r="L147" s="7"/>
      <x:c r="M147" s="7"/>
      <x:c r="N147" s="7"/>
      <x:c r="O147" s="7"/>
      <x:c r="P147" s="7"/>
      <x:c r="Q147" s="3" t="str">
        <x:f>IF(COUNTA(A147:P147)=0,"",IFERROR(IF(AND(A147&lt;&gt;"",COUNTIF($A$2:$A$201,A147)=1,OR(LEFT(B147,2)="V-",LEFT(B147,4)="SYN-"),LEN(MID(B147,IF(LEFT(B147,2)="V-",3,5),30))&gt;0,ISNUMBER(VALUE(MID(B147,IF(LEFT(B147,2)="V-",3,5),30))),VALUE(MID(B147,IF(LEFT(B147,2)="V-",3,5),30))&gt;=0,MOD(VALUE(MID(B147,IF(LEFT(B147,2)="V-",3,5),30)),1)=0,COUNTIFS(Slots!$A$2:$A$31,"E1",Slots!$B$2:$B$31,C147)=1,ISNUMBER(SEARCH("|"&amp;D147&amp;"|","|"&amp;Settings!$B$9&amp;"|")),OR(E147="regular",E147="first"),OR(F147="include",F147="duplicate",F147="late"),OR(H147="yes",H147="no"),OR(I147="success",I147="failed",I147="unknown",I147="not_sent"),OR(K147="yes",K147="no",K147="none",K147="conflict",K147="unknown"),OR(L147="text",L147="emoji",L147="voice",L147="none",L147="unknown"),OR(M147="yes",M147="no",M147="unknown"),OR(N147="yes",N147="no",N147="unknown"),ISNUMBER(O147),OR(O147=0,O147=1),OR(P147="",P147="soft_yes",P147="forgot",P147="time_place",P147="clash",P147="travel",P147="personal",P147="unknown",P147="silent_but_came"),OR(I147&lt;&gt;"success",AND(J147&lt;&gt;"",COUNTIFS($J$2:$J$201,J147,$I$2:$I$201,"success")=1)),OR(I147&lt;&gt;"not_sent",J147=""),IF(F147="duplicate",AND(COUNTIFS($A$2:$A$201,G147,$B$2:$B$201,B147,$C$2:$C$201,C147,$F$2:$F$201,"include")=1,H147="no",I147="not_sent",K147="none",M147="no",N147="no",O147=0),AND(G147="",N147&lt;&gt;"unknown",COUNTIFS($B$2:$B$201,B147,$F$2:$F$201,"&lt;&gt;duplicate")=1)),IF(F147="include",AND(H147="yes",K147&lt;&gt;"conflict",K147&lt;&gt;"unknown",M147&lt;&gt;"unknown",IF(OR(K147="yes",K147="no"),AND(M147="yes",OR(L147="text",L147="emoji",L147="voice")),L147="none")),TRUE),IF(F147="late",AND(H147="no",I147="not_sent",K147="none",L147="none",O147=0),TRUE)),"OK","CHECK"),"CHECK"))</x:f>
      </x:c>
      <x:c r="R147" s="3"/>
    </x:row>
    <x:row r="148" ht="22" customHeight="1">
      <x:c r="A148" s="8"/>
      <x:c r="B148" s="8"/>
      <x:c r="C148" s="8"/>
      <x:c r="D148" s="8"/>
      <x:c r="E148" s="7"/>
      <x:c r="F148" s="7"/>
      <x:c r="G148" s="7"/>
      <x:c r="H148" s="7"/>
      <x:c r="I148" s="7"/>
      <x:c r="J148" s="8"/>
      <x:c r="K148" s="7"/>
      <x:c r="L148" s="7"/>
      <x:c r="M148" s="7"/>
      <x:c r="N148" s="7"/>
      <x:c r="O148" s="7"/>
      <x:c r="P148" s="7"/>
      <x:c r="Q148" s="3" t="str">
        <x:f>IF(COUNTA(A148:P148)=0,"",IFERROR(IF(AND(A148&lt;&gt;"",COUNTIF($A$2:$A$201,A148)=1,OR(LEFT(B148,2)="V-",LEFT(B148,4)="SYN-"),LEN(MID(B148,IF(LEFT(B148,2)="V-",3,5),30))&gt;0,ISNUMBER(VALUE(MID(B148,IF(LEFT(B148,2)="V-",3,5),30))),VALUE(MID(B148,IF(LEFT(B148,2)="V-",3,5),30))&gt;=0,MOD(VALUE(MID(B148,IF(LEFT(B148,2)="V-",3,5),30)),1)=0,COUNTIFS(Slots!$A$2:$A$31,"E1",Slots!$B$2:$B$31,C148)=1,ISNUMBER(SEARCH("|"&amp;D148&amp;"|","|"&amp;Settings!$B$9&amp;"|")),OR(E148="regular",E148="first"),OR(F148="include",F148="duplicate",F148="late"),OR(H148="yes",H148="no"),OR(I148="success",I148="failed",I148="unknown",I148="not_sent"),OR(K148="yes",K148="no",K148="none",K148="conflict",K148="unknown"),OR(L148="text",L148="emoji",L148="voice",L148="none",L148="unknown"),OR(M148="yes",M148="no",M148="unknown"),OR(N148="yes",N148="no",N148="unknown"),ISNUMBER(O148),OR(O148=0,O148=1),OR(P148="",P148="soft_yes",P148="forgot",P148="time_place",P148="clash",P148="travel",P148="personal",P148="unknown",P148="silent_but_came"),OR(I148&lt;&gt;"success",AND(J148&lt;&gt;"",COUNTIFS($J$2:$J$201,J148,$I$2:$I$201,"success")=1)),OR(I148&lt;&gt;"not_sent",J148=""),IF(F148="duplicate",AND(COUNTIFS($A$2:$A$201,G148,$B$2:$B$201,B148,$C$2:$C$201,C148,$F$2:$F$201,"include")=1,H148="no",I148="not_sent",K148="none",M148="no",N148="no",O148=0),AND(G148="",N148&lt;&gt;"unknown",COUNTIFS($B$2:$B$201,B148,$F$2:$F$201,"&lt;&gt;duplicate")=1)),IF(F148="include",AND(H148="yes",K148&lt;&gt;"conflict",K148&lt;&gt;"unknown",M148&lt;&gt;"unknown",IF(OR(K148="yes",K148="no"),AND(M148="yes",OR(L148="text",L148="emoji",L148="voice")),L148="none")),TRUE),IF(F148="late",AND(H148="no",I148="not_sent",K148="none",L148="none",O148=0),TRUE)),"OK","CHECK"),"CHECK"))</x:f>
      </x:c>
      <x:c r="R148" s="3"/>
    </x:row>
    <x:row r="149" ht="22" customHeight="1">
      <x:c r="A149" s="8"/>
      <x:c r="B149" s="8"/>
      <x:c r="C149" s="8"/>
      <x:c r="D149" s="8"/>
      <x:c r="E149" s="7"/>
      <x:c r="F149" s="7"/>
      <x:c r="G149" s="7"/>
      <x:c r="H149" s="7"/>
      <x:c r="I149" s="7"/>
      <x:c r="J149" s="8"/>
      <x:c r="K149" s="7"/>
      <x:c r="L149" s="7"/>
      <x:c r="M149" s="7"/>
      <x:c r="N149" s="7"/>
      <x:c r="O149" s="7"/>
      <x:c r="P149" s="7"/>
      <x:c r="Q149" s="3" t="str">
        <x:f>IF(COUNTA(A149:P149)=0,"",IFERROR(IF(AND(A149&lt;&gt;"",COUNTIF($A$2:$A$201,A149)=1,OR(LEFT(B149,2)="V-",LEFT(B149,4)="SYN-"),LEN(MID(B149,IF(LEFT(B149,2)="V-",3,5),30))&gt;0,ISNUMBER(VALUE(MID(B149,IF(LEFT(B149,2)="V-",3,5),30))),VALUE(MID(B149,IF(LEFT(B149,2)="V-",3,5),30))&gt;=0,MOD(VALUE(MID(B149,IF(LEFT(B149,2)="V-",3,5),30)),1)=0,COUNTIFS(Slots!$A$2:$A$31,"E1",Slots!$B$2:$B$31,C149)=1,ISNUMBER(SEARCH("|"&amp;D149&amp;"|","|"&amp;Settings!$B$9&amp;"|")),OR(E149="regular",E149="first"),OR(F149="include",F149="duplicate",F149="late"),OR(H149="yes",H149="no"),OR(I149="success",I149="failed",I149="unknown",I149="not_sent"),OR(K149="yes",K149="no",K149="none",K149="conflict",K149="unknown"),OR(L149="text",L149="emoji",L149="voice",L149="none",L149="unknown"),OR(M149="yes",M149="no",M149="unknown"),OR(N149="yes",N149="no",N149="unknown"),ISNUMBER(O149),OR(O149=0,O149=1),OR(P149="",P149="soft_yes",P149="forgot",P149="time_place",P149="clash",P149="travel",P149="personal",P149="unknown",P149="silent_but_came"),OR(I149&lt;&gt;"success",AND(J149&lt;&gt;"",COUNTIFS($J$2:$J$201,J149,$I$2:$I$201,"success")=1)),OR(I149&lt;&gt;"not_sent",J149=""),IF(F149="duplicate",AND(COUNTIFS($A$2:$A$201,G149,$B$2:$B$201,B149,$C$2:$C$201,C149,$F$2:$F$201,"include")=1,H149="no",I149="not_sent",K149="none",M149="no",N149="no",O149=0),AND(G149="",N149&lt;&gt;"unknown",COUNTIFS($B$2:$B$201,B149,$F$2:$F$201,"&lt;&gt;duplicate")=1)),IF(F149="include",AND(H149="yes",K149&lt;&gt;"conflict",K149&lt;&gt;"unknown",M149&lt;&gt;"unknown",IF(OR(K149="yes",K149="no"),AND(M149="yes",OR(L149="text",L149="emoji",L149="voice")),L149="none")),TRUE),IF(F149="late",AND(H149="no",I149="not_sent",K149="none",L149="none",O149=0),TRUE)),"OK","CHECK"),"CHECK"))</x:f>
      </x:c>
      <x:c r="R149" s="3"/>
    </x:row>
    <x:row r="150" ht="22" customHeight="1">
      <x:c r="A150" s="8"/>
      <x:c r="B150" s="8"/>
      <x:c r="C150" s="8"/>
      <x:c r="D150" s="8"/>
      <x:c r="E150" s="7"/>
      <x:c r="F150" s="7"/>
      <x:c r="G150" s="7"/>
      <x:c r="H150" s="7"/>
      <x:c r="I150" s="7"/>
      <x:c r="J150" s="8"/>
      <x:c r="K150" s="7"/>
      <x:c r="L150" s="7"/>
      <x:c r="M150" s="7"/>
      <x:c r="N150" s="7"/>
      <x:c r="O150" s="7"/>
      <x:c r="P150" s="7"/>
      <x:c r="Q150" s="3" t="str">
        <x:f>IF(COUNTA(A150:P150)=0,"",IFERROR(IF(AND(A150&lt;&gt;"",COUNTIF($A$2:$A$201,A150)=1,OR(LEFT(B150,2)="V-",LEFT(B150,4)="SYN-"),LEN(MID(B150,IF(LEFT(B150,2)="V-",3,5),30))&gt;0,ISNUMBER(VALUE(MID(B150,IF(LEFT(B150,2)="V-",3,5),30))),VALUE(MID(B150,IF(LEFT(B150,2)="V-",3,5),30))&gt;=0,MOD(VALUE(MID(B150,IF(LEFT(B150,2)="V-",3,5),30)),1)=0,COUNTIFS(Slots!$A$2:$A$31,"E1",Slots!$B$2:$B$31,C150)=1,ISNUMBER(SEARCH("|"&amp;D150&amp;"|","|"&amp;Settings!$B$9&amp;"|")),OR(E150="regular",E150="first"),OR(F150="include",F150="duplicate",F150="late"),OR(H150="yes",H150="no"),OR(I150="success",I150="failed",I150="unknown",I150="not_sent"),OR(K150="yes",K150="no",K150="none",K150="conflict",K150="unknown"),OR(L150="text",L150="emoji",L150="voice",L150="none",L150="unknown"),OR(M150="yes",M150="no",M150="unknown"),OR(N150="yes",N150="no",N150="unknown"),ISNUMBER(O150),OR(O150=0,O150=1),OR(P150="",P150="soft_yes",P150="forgot",P150="time_place",P150="clash",P150="travel",P150="personal",P150="unknown",P150="silent_but_came"),OR(I150&lt;&gt;"success",AND(J150&lt;&gt;"",COUNTIFS($J$2:$J$201,J150,$I$2:$I$201,"success")=1)),OR(I150&lt;&gt;"not_sent",J150=""),IF(F150="duplicate",AND(COUNTIFS($A$2:$A$201,G150,$B$2:$B$201,B150,$C$2:$C$201,C150,$F$2:$F$201,"include")=1,H150="no",I150="not_sent",K150="none",M150="no",N150="no",O150=0),AND(G150="",N150&lt;&gt;"unknown",COUNTIFS($B$2:$B$201,B150,$F$2:$F$201,"&lt;&gt;duplicate")=1)),IF(F150="include",AND(H150="yes",K150&lt;&gt;"conflict",K150&lt;&gt;"unknown",M150&lt;&gt;"unknown",IF(OR(K150="yes",K150="no"),AND(M150="yes",OR(L150="text",L150="emoji",L150="voice")),L150="none")),TRUE),IF(F150="late",AND(H150="no",I150="not_sent",K150="none",L150="none",O150=0),TRUE)),"OK","CHECK"),"CHECK"))</x:f>
      </x:c>
      <x:c r="R150" s="3"/>
    </x:row>
    <x:row r="151" ht="22" customHeight="1">
      <x:c r="A151" s="8"/>
      <x:c r="B151" s="8"/>
      <x:c r="C151" s="8"/>
      <x:c r="D151" s="8"/>
      <x:c r="E151" s="7"/>
      <x:c r="F151" s="7"/>
      <x:c r="G151" s="7"/>
      <x:c r="H151" s="7"/>
      <x:c r="I151" s="7"/>
      <x:c r="J151" s="8"/>
      <x:c r="K151" s="7"/>
      <x:c r="L151" s="7"/>
      <x:c r="M151" s="7"/>
      <x:c r="N151" s="7"/>
      <x:c r="O151" s="7"/>
      <x:c r="P151" s="7"/>
      <x:c r="Q151" s="3" t="str">
        <x:f>IF(COUNTA(A151:P151)=0,"",IFERROR(IF(AND(A151&lt;&gt;"",COUNTIF($A$2:$A$201,A151)=1,OR(LEFT(B151,2)="V-",LEFT(B151,4)="SYN-"),LEN(MID(B151,IF(LEFT(B151,2)="V-",3,5),30))&gt;0,ISNUMBER(VALUE(MID(B151,IF(LEFT(B151,2)="V-",3,5),30))),VALUE(MID(B151,IF(LEFT(B151,2)="V-",3,5),30))&gt;=0,MOD(VALUE(MID(B151,IF(LEFT(B151,2)="V-",3,5),30)),1)=0,COUNTIFS(Slots!$A$2:$A$31,"E1",Slots!$B$2:$B$31,C151)=1,ISNUMBER(SEARCH("|"&amp;D151&amp;"|","|"&amp;Settings!$B$9&amp;"|")),OR(E151="regular",E151="first"),OR(F151="include",F151="duplicate",F151="late"),OR(H151="yes",H151="no"),OR(I151="success",I151="failed",I151="unknown",I151="not_sent"),OR(K151="yes",K151="no",K151="none",K151="conflict",K151="unknown"),OR(L151="text",L151="emoji",L151="voice",L151="none",L151="unknown"),OR(M151="yes",M151="no",M151="unknown"),OR(N151="yes",N151="no",N151="unknown"),ISNUMBER(O151),OR(O151=0,O151=1),OR(P151="",P151="soft_yes",P151="forgot",P151="time_place",P151="clash",P151="travel",P151="personal",P151="unknown",P151="silent_but_came"),OR(I151&lt;&gt;"success",AND(J151&lt;&gt;"",COUNTIFS($J$2:$J$201,J151,$I$2:$I$201,"success")=1)),OR(I151&lt;&gt;"not_sent",J151=""),IF(F151="duplicate",AND(COUNTIFS($A$2:$A$201,G151,$B$2:$B$201,B151,$C$2:$C$201,C151,$F$2:$F$201,"include")=1,H151="no",I151="not_sent",K151="none",M151="no",N151="no",O151=0),AND(G151="",N151&lt;&gt;"unknown",COUNTIFS($B$2:$B$201,B151,$F$2:$F$201,"&lt;&gt;duplicate")=1)),IF(F151="include",AND(H151="yes",K151&lt;&gt;"conflict",K151&lt;&gt;"unknown",M151&lt;&gt;"unknown",IF(OR(K151="yes",K151="no"),AND(M151="yes",OR(L151="text",L151="emoji",L151="voice")),L151="none")),TRUE),IF(F151="late",AND(H151="no",I151="not_sent",K151="none",L151="none",O151=0),TRUE)),"OK","CHECK"),"CHECK"))</x:f>
      </x:c>
      <x:c r="R151" s="3"/>
    </x:row>
    <x:row r="152" ht="22" customHeight="1">
      <x:c r="A152" s="8"/>
      <x:c r="B152" s="8"/>
      <x:c r="C152" s="8"/>
      <x:c r="D152" s="8"/>
      <x:c r="E152" s="7"/>
      <x:c r="F152" s="7"/>
      <x:c r="G152" s="7"/>
      <x:c r="H152" s="7"/>
      <x:c r="I152" s="7"/>
      <x:c r="J152" s="8"/>
      <x:c r="K152" s="7"/>
      <x:c r="L152" s="7"/>
      <x:c r="M152" s="7"/>
      <x:c r="N152" s="7"/>
      <x:c r="O152" s="7"/>
      <x:c r="P152" s="7"/>
      <x:c r="Q152" s="3" t="str">
        <x:f>IF(COUNTA(A152:P152)=0,"",IFERROR(IF(AND(A152&lt;&gt;"",COUNTIF($A$2:$A$201,A152)=1,OR(LEFT(B152,2)="V-",LEFT(B152,4)="SYN-"),LEN(MID(B152,IF(LEFT(B152,2)="V-",3,5),30))&gt;0,ISNUMBER(VALUE(MID(B152,IF(LEFT(B152,2)="V-",3,5),30))),VALUE(MID(B152,IF(LEFT(B152,2)="V-",3,5),30))&gt;=0,MOD(VALUE(MID(B152,IF(LEFT(B152,2)="V-",3,5),30)),1)=0,COUNTIFS(Slots!$A$2:$A$31,"E1",Slots!$B$2:$B$31,C152)=1,ISNUMBER(SEARCH("|"&amp;D152&amp;"|","|"&amp;Settings!$B$9&amp;"|")),OR(E152="regular",E152="first"),OR(F152="include",F152="duplicate",F152="late"),OR(H152="yes",H152="no"),OR(I152="success",I152="failed",I152="unknown",I152="not_sent"),OR(K152="yes",K152="no",K152="none",K152="conflict",K152="unknown"),OR(L152="text",L152="emoji",L152="voice",L152="none",L152="unknown"),OR(M152="yes",M152="no",M152="unknown"),OR(N152="yes",N152="no",N152="unknown"),ISNUMBER(O152),OR(O152=0,O152=1),OR(P152="",P152="soft_yes",P152="forgot",P152="time_place",P152="clash",P152="travel",P152="personal",P152="unknown",P152="silent_but_came"),OR(I152&lt;&gt;"success",AND(J152&lt;&gt;"",COUNTIFS($J$2:$J$201,J152,$I$2:$I$201,"success")=1)),OR(I152&lt;&gt;"not_sent",J152=""),IF(F152="duplicate",AND(COUNTIFS($A$2:$A$201,G152,$B$2:$B$201,B152,$C$2:$C$201,C152,$F$2:$F$201,"include")=1,H152="no",I152="not_sent",K152="none",M152="no",N152="no",O152=0),AND(G152="",N152&lt;&gt;"unknown",COUNTIFS($B$2:$B$201,B152,$F$2:$F$201,"&lt;&gt;duplicate")=1)),IF(F152="include",AND(H152="yes",K152&lt;&gt;"conflict",K152&lt;&gt;"unknown",M152&lt;&gt;"unknown",IF(OR(K152="yes",K152="no"),AND(M152="yes",OR(L152="text",L152="emoji",L152="voice")),L152="none")),TRUE),IF(F152="late",AND(H152="no",I152="not_sent",K152="none",L152="none",O152=0),TRUE)),"OK","CHECK"),"CHECK"))</x:f>
      </x:c>
      <x:c r="R152" s="3"/>
    </x:row>
    <x:row r="153" ht="22" customHeight="1">
      <x:c r="A153" s="8"/>
      <x:c r="B153" s="8"/>
      <x:c r="C153" s="8"/>
      <x:c r="D153" s="8"/>
      <x:c r="E153" s="7"/>
      <x:c r="F153" s="7"/>
      <x:c r="G153" s="7"/>
      <x:c r="H153" s="7"/>
      <x:c r="I153" s="7"/>
      <x:c r="J153" s="8"/>
      <x:c r="K153" s="7"/>
      <x:c r="L153" s="7"/>
      <x:c r="M153" s="7"/>
      <x:c r="N153" s="7"/>
      <x:c r="O153" s="7"/>
      <x:c r="P153" s="7"/>
      <x:c r="Q153" s="3" t="str">
        <x:f>IF(COUNTA(A153:P153)=0,"",IFERROR(IF(AND(A153&lt;&gt;"",COUNTIF($A$2:$A$201,A153)=1,OR(LEFT(B153,2)="V-",LEFT(B153,4)="SYN-"),LEN(MID(B153,IF(LEFT(B153,2)="V-",3,5),30))&gt;0,ISNUMBER(VALUE(MID(B153,IF(LEFT(B153,2)="V-",3,5),30))),VALUE(MID(B153,IF(LEFT(B153,2)="V-",3,5),30))&gt;=0,MOD(VALUE(MID(B153,IF(LEFT(B153,2)="V-",3,5),30)),1)=0,COUNTIFS(Slots!$A$2:$A$31,"E1",Slots!$B$2:$B$31,C153)=1,ISNUMBER(SEARCH("|"&amp;D153&amp;"|","|"&amp;Settings!$B$9&amp;"|")),OR(E153="regular",E153="first"),OR(F153="include",F153="duplicate",F153="late"),OR(H153="yes",H153="no"),OR(I153="success",I153="failed",I153="unknown",I153="not_sent"),OR(K153="yes",K153="no",K153="none",K153="conflict",K153="unknown"),OR(L153="text",L153="emoji",L153="voice",L153="none",L153="unknown"),OR(M153="yes",M153="no",M153="unknown"),OR(N153="yes",N153="no",N153="unknown"),ISNUMBER(O153),OR(O153=0,O153=1),OR(P153="",P153="soft_yes",P153="forgot",P153="time_place",P153="clash",P153="travel",P153="personal",P153="unknown",P153="silent_but_came"),OR(I153&lt;&gt;"success",AND(J153&lt;&gt;"",COUNTIFS($J$2:$J$201,J153,$I$2:$I$201,"success")=1)),OR(I153&lt;&gt;"not_sent",J153=""),IF(F153="duplicate",AND(COUNTIFS($A$2:$A$201,G153,$B$2:$B$201,B153,$C$2:$C$201,C153,$F$2:$F$201,"include")=1,H153="no",I153="not_sent",K153="none",M153="no",N153="no",O153=0),AND(G153="",N153&lt;&gt;"unknown",COUNTIFS($B$2:$B$201,B153,$F$2:$F$201,"&lt;&gt;duplicate")=1)),IF(F153="include",AND(H153="yes",K153&lt;&gt;"conflict",K153&lt;&gt;"unknown",M153&lt;&gt;"unknown",IF(OR(K153="yes",K153="no"),AND(M153="yes",OR(L153="text",L153="emoji",L153="voice")),L153="none")),TRUE),IF(F153="late",AND(H153="no",I153="not_sent",K153="none",L153="none",O153=0),TRUE)),"OK","CHECK"),"CHECK"))</x:f>
      </x:c>
      <x:c r="R153" s="3"/>
    </x:row>
    <x:row r="154" ht="22" customHeight="1">
      <x:c r="A154" s="8"/>
      <x:c r="B154" s="8"/>
      <x:c r="C154" s="8"/>
      <x:c r="D154" s="8"/>
      <x:c r="E154" s="7"/>
      <x:c r="F154" s="7"/>
      <x:c r="G154" s="7"/>
      <x:c r="H154" s="7"/>
      <x:c r="I154" s="7"/>
      <x:c r="J154" s="8"/>
      <x:c r="K154" s="7"/>
      <x:c r="L154" s="7"/>
      <x:c r="M154" s="7"/>
      <x:c r="N154" s="7"/>
      <x:c r="O154" s="7"/>
      <x:c r="P154" s="7"/>
      <x:c r="Q154" s="3" t="str">
        <x:f>IF(COUNTA(A154:P154)=0,"",IFERROR(IF(AND(A154&lt;&gt;"",COUNTIF($A$2:$A$201,A154)=1,OR(LEFT(B154,2)="V-",LEFT(B154,4)="SYN-"),LEN(MID(B154,IF(LEFT(B154,2)="V-",3,5),30))&gt;0,ISNUMBER(VALUE(MID(B154,IF(LEFT(B154,2)="V-",3,5),30))),VALUE(MID(B154,IF(LEFT(B154,2)="V-",3,5),30))&gt;=0,MOD(VALUE(MID(B154,IF(LEFT(B154,2)="V-",3,5),30)),1)=0,COUNTIFS(Slots!$A$2:$A$31,"E1",Slots!$B$2:$B$31,C154)=1,ISNUMBER(SEARCH("|"&amp;D154&amp;"|","|"&amp;Settings!$B$9&amp;"|")),OR(E154="regular",E154="first"),OR(F154="include",F154="duplicate",F154="late"),OR(H154="yes",H154="no"),OR(I154="success",I154="failed",I154="unknown",I154="not_sent"),OR(K154="yes",K154="no",K154="none",K154="conflict",K154="unknown"),OR(L154="text",L154="emoji",L154="voice",L154="none",L154="unknown"),OR(M154="yes",M154="no",M154="unknown"),OR(N154="yes",N154="no",N154="unknown"),ISNUMBER(O154),OR(O154=0,O154=1),OR(P154="",P154="soft_yes",P154="forgot",P154="time_place",P154="clash",P154="travel",P154="personal",P154="unknown",P154="silent_but_came"),OR(I154&lt;&gt;"success",AND(J154&lt;&gt;"",COUNTIFS($J$2:$J$201,J154,$I$2:$I$201,"success")=1)),OR(I154&lt;&gt;"not_sent",J154=""),IF(F154="duplicate",AND(COUNTIFS($A$2:$A$201,G154,$B$2:$B$201,B154,$C$2:$C$201,C154,$F$2:$F$201,"include")=1,H154="no",I154="not_sent",K154="none",M154="no",N154="no",O154=0),AND(G154="",N154&lt;&gt;"unknown",COUNTIFS($B$2:$B$201,B154,$F$2:$F$201,"&lt;&gt;duplicate")=1)),IF(F154="include",AND(H154="yes",K154&lt;&gt;"conflict",K154&lt;&gt;"unknown",M154&lt;&gt;"unknown",IF(OR(K154="yes",K154="no"),AND(M154="yes",OR(L154="text",L154="emoji",L154="voice")),L154="none")),TRUE),IF(F154="late",AND(H154="no",I154="not_sent",K154="none",L154="none",O154=0),TRUE)),"OK","CHECK"),"CHECK"))</x:f>
      </x:c>
      <x:c r="R154" s="3"/>
    </x:row>
    <x:row r="155" ht="22" customHeight="1">
      <x:c r="A155" s="8"/>
      <x:c r="B155" s="8"/>
      <x:c r="C155" s="8"/>
      <x:c r="D155" s="8"/>
      <x:c r="E155" s="7"/>
      <x:c r="F155" s="7"/>
      <x:c r="G155" s="7"/>
      <x:c r="H155" s="7"/>
      <x:c r="I155" s="7"/>
      <x:c r="J155" s="8"/>
      <x:c r="K155" s="7"/>
      <x:c r="L155" s="7"/>
      <x:c r="M155" s="7"/>
      <x:c r="N155" s="7"/>
      <x:c r="O155" s="7"/>
      <x:c r="P155" s="7"/>
      <x:c r="Q155" s="3" t="str">
        <x:f>IF(COUNTA(A155:P155)=0,"",IFERROR(IF(AND(A155&lt;&gt;"",COUNTIF($A$2:$A$201,A155)=1,OR(LEFT(B155,2)="V-",LEFT(B155,4)="SYN-"),LEN(MID(B155,IF(LEFT(B155,2)="V-",3,5),30))&gt;0,ISNUMBER(VALUE(MID(B155,IF(LEFT(B155,2)="V-",3,5),30))),VALUE(MID(B155,IF(LEFT(B155,2)="V-",3,5),30))&gt;=0,MOD(VALUE(MID(B155,IF(LEFT(B155,2)="V-",3,5),30)),1)=0,COUNTIFS(Slots!$A$2:$A$31,"E1",Slots!$B$2:$B$31,C155)=1,ISNUMBER(SEARCH("|"&amp;D155&amp;"|","|"&amp;Settings!$B$9&amp;"|")),OR(E155="regular",E155="first"),OR(F155="include",F155="duplicate",F155="late"),OR(H155="yes",H155="no"),OR(I155="success",I155="failed",I155="unknown",I155="not_sent"),OR(K155="yes",K155="no",K155="none",K155="conflict",K155="unknown"),OR(L155="text",L155="emoji",L155="voice",L155="none",L155="unknown"),OR(M155="yes",M155="no",M155="unknown"),OR(N155="yes",N155="no",N155="unknown"),ISNUMBER(O155),OR(O155=0,O155=1),OR(P155="",P155="soft_yes",P155="forgot",P155="time_place",P155="clash",P155="travel",P155="personal",P155="unknown",P155="silent_but_came"),OR(I155&lt;&gt;"success",AND(J155&lt;&gt;"",COUNTIFS($J$2:$J$201,J155,$I$2:$I$201,"success")=1)),OR(I155&lt;&gt;"not_sent",J155=""),IF(F155="duplicate",AND(COUNTIFS($A$2:$A$201,G155,$B$2:$B$201,B155,$C$2:$C$201,C155,$F$2:$F$201,"include")=1,H155="no",I155="not_sent",K155="none",M155="no",N155="no",O155=0),AND(G155="",N155&lt;&gt;"unknown",COUNTIFS($B$2:$B$201,B155,$F$2:$F$201,"&lt;&gt;duplicate")=1)),IF(F155="include",AND(H155="yes",K155&lt;&gt;"conflict",K155&lt;&gt;"unknown",M155&lt;&gt;"unknown",IF(OR(K155="yes",K155="no"),AND(M155="yes",OR(L155="text",L155="emoji",L155="voice")),L155="none")),TRUE),IF(F155="late",AND(H155="no",I155="not_sent",K155="none",L155="none",O155=0),TRUE)),"OK","CHECK"),"CHECK"))</x:f>
      </x:c>
      <x:c r="R155" s="3"/>
    </x:row>
    <x:row r="156" ht="22" customHeight="1">
      <x:c r="A156" s="8"/>
      <x:c r="B156" s="8"/>
      <x:c r="C156" s="8"/>
      <x:c r="D156" s="8"/>
      <x:c r="E156" s="7"/>
      <x:c r="F156" s="7"/>
      <x:c r="G156" s="7"/>
      <x:c r="H156" s="7"/>
      <x:c r="I156" s="7"/>
      <x:c r="J156" s="8"/>
      <x:c r="K156" s="7"/>
      <x:c r="L156" s="7"/>
      <x:c r="M156" s="7"/>
      <x:c r="N156" s="7"/>
      <x:c r="O156" s="7"/>
      <x:c r="P156" s="7"/>
      <x:c r="Q156" s="3" t="str">
        <x:f>IF(COUNTA(A156:P156)=0,"",IFERROR(IF(AND(A156&lt;&gt;"",COUNTIF($A$2:$A$201,A156)=1,OR(LEFT(B156,2)="V-",LEFT(B156,4)="SYN-"),LEN(MID(B156,IF(LEFT(B156,2)="V-",3,5),30))&gt;0,ISNUMBER(VALUE(MID(B156,IF(LEFT(B156,2)="V-",3,5),30))),VALUE(MID(B156,IF(LEFT(B156,2)="V-",3,5),30))&gt;=0,MOD(VALUE(MID(B156,IF(LEFT(B156,2)="V-",3,5),30)),1)=0,COUNTIFS(Slots!$A$2:$A$31,"E1",Slots!$B$2:$B$31,C156)=1,ISNUMBER(SEARCH("|"&amp;D156&amp;"|","|"&amp;Settings!$B$9&amp;"|")),OR(E156="regular",E156="first"),OR(F156="include",F156="duplicate",F156="late"),OR(H156="yes",H156="no"),OR(I156="success",I156="failed",I156="unknown",I156="not_sent"),OR(K156="yes",K156="no",K156="none",K156="conflict",K156="unknown"),OR(L156="text",L156="emoji",L156="voice",L156="none",L156="unknown"),OR(M156="yes",M156="no",M156="unknown"),OR(N156="yes",N156="no",N156="unknown"),ISNUMBER(O156),OR(O156=0,O156=1),OR(P156="",P156="soft_yes",P156="forgot",P156="time_place",P156="clash",P156="travel",P156="personal",P156="unknown",P156="silent_but_came"),OR(I156&lt;&gt;"success",AND(J156&lt;&gt;"",COUNTIFS($J$2:$J$201,J156,$I$2:$I$201,"success")=1)),OR(I156&lt;&gt;"not_sent",J156=""),IF(F156="duplicate",AND(COUNTIFS($A$2:$A$201,G156,$B$2:$B$201,B156,$C$2:$C$201,C156,$F$2:$F$201,"include")=1,H156="no",I156="not_sent",K156="none",M156="no",N156="no",O156=0),AND(G156="",N156&lt;&gt;"unknown",COUNTIFS($B$2:$B$201,B156,$F$2:$F$201,"&lt;&gt;duplicate")=1)),IF(F156="include",AND(H156="yes",K156&lt;&gt;"conflict",K156&lt;&gt;"unknown",M156&lt;&gt;"unknown",IF(OR(K156="yes",K156="no"),AND(M156="yes",OR(L156="text",L156="emoji",L156="voice")),L156="none")),TRUE),IF(F156="late",AND(H156="no",I156="not_sent",K156="none",L156="none",O156=0),TRUE)),"OK","CHECK"),"CHECK"))</x:f>
      </x:c>
      <x:c r="R156" s="3"/>
    </x:row>
    <x:row r="157" ht="22" customHeight="1">
      <x:c r="A157" s="8"/>
      <x:c r="B157" s="8"/>
      <x:c r="C157" s="8"/>
      <x:c r="D157" s="8"/>
      <x:c r="E157" s="7"/>
      <x:c r="F157" s="7"/>
      <x:c r="G157" s="7"/>
      <x:c r="H157" s="7"/>
      <x:c r="I157" s="7"/>
      <x:c r="J157" s="8"/>
      <x:c r="K157" s="7"/>
      <x:c r="L157" s="7"/>
      <x:c r="M157" s="7"/>
      <x:c r="N157" s="7"/>
      <x:c r="O157" s="7"/>
      <x:c r="P157" s="7"/>
      <x:c r="Q157" s="3" t="str">
        <x:f>IF(COUNTA(A157:P157)=0,"",IFERROR(IF(AND(A157&lt;&gt;"",COUNTIF($A$2:$A$201,A157)=1,OR(LEFT(B157,2)="V-",LEFT(B157,4)="SYN-"),LEN(MID(B157,IF(LEFT(B157,2)="V-",3,5),30))&gt;0,ISNUMBER(VALUE(MID(B157,IF(LEFT(B157,2)="V-",3,5),30))),VALUE(MID(B157,IF(LEFT(B157,2)="V-",3,5),30))&gt;=0,MOD(VALUE(MID(B157,IF(LEFT(B157,2)="V-",3,5),30)),1)=0,COUNTIFS(Slots!$A$2:$A$31,"E1",Slots!$B$2:$B$31,C157)=1,ISNUMBER(SEARCH("|"&amp;D157&amp;"|","|"&amp;Settings!$B$9&amp;"|")),OR(E157="regular",E157="first"),OR(F157="include",F157="duplicate",F157="late"),OR(H157="yes",H157="no"),OR(I157="success",I157="failed",I157="unknown",I157="not_sent"),OR(K157="yes",K157="no",K157="none",K157="conflict",K157="unknown"),OR(L157="text",L157="emoji",L157="voice",L157="none",L157="unknown"),OR(M157="yes",M157="no",M157="unknown"),OR(N157="yes",N157="no",N157="unknown"),ISNUMBER(O157),OR(O157=0,O157=1),OR(P157="",P157="soft_yes",P157="forgot",P157="time_place",P157="clash",P157="travel",P157="personal",P157="unknown",P157="silent_but_came"),OR(I157&lt;&gt;"success",AND(J157&lt;&gt;"",COUNTIFS($J$2:$J$201,J157,$I$2:$I$201,"success")=1)),OR(I157&lt;&gt;"not_sent",J157=""),IF(F157="duplicate",AND(COUNTIFS($A$2:$A$201,G157,$B$2:$B$201,B157,$C$2:$C$201,C157,$F$2:$F$201,"include")=1,H157="no",I157="not_sent",K157="none",M157="no",N157="no",O157=0),AND(G157="",N157&lt;&gt;"unknown",COUNTIFS($B$2:$B$201,B157,$F$2:$F$201,"&lt;&gt;duplicate")=1)),IF(F157="include",AND(H157="yes",K157&lt;&gt;"conflict",K157&lt;&gt;"unknown",M157&lt;&gt;"unknown",IF(OR(K157="yes",K157="no"),AND(M157="yes",OR(L157="text",L157="emoji",L157="voice")),L157="none")),TRUE),IF(F157="late",AND(H157="no",I157="not_sent",K157="none",L157="none",O157=0),TRUE)),"OK","CHECK"),"CHECK"))</x:f>
      </x:c>
      <x:c r="R157" s="3"/>
    </x:row>
    <x:row r="158" ht="22" customHeight="1">
      <x:c r="A158" s="8"/>
      <x:c r="B158" s="8"/>
      <x:c r="C158" s="8"/>
      <x:c r="D158" s="8"/>
      <x:c r="E158" s="7"/>
      <x:c r="F158" s="7"/>
      <x:c r="G158" s="7"/>
      <x:c r="H158" s="7"/>
      <x:c r="I158" s="7"/>
      <x:c r="J158" s="8"/>
      <x:c r="K158" s="7"/>
      <x:c r="L158" s="7"/>
      <x:c r="M158" s="7"/>
      <x:c r="N158" s="7"/>
      <x:c r="O158" s="7"/>
      <x:c r="P158" s="7"/>
      <x:c r="Q158" s="3" t="str">
        <x:f>IF(COUNTA(A158:P158)=0,"",IFERROR(IF(AND(A158&lt;&gt;"",COUNTIF($A$2:$A$201,A158)=1,OR(LEFT(B158,2)="V-",LEFT(B158,4)="SYN-"),LEN(MID(B158,IF(LEFT(B158,2)="V-",3,5),30))&gt;0,ISNUMBER(VALUE(MID(B158,IF(LEFT(B158,2)="V-",3,5),30))),VALUE(MID(B158,IF(LEFT(B158,2)="V-",3,5),30))&gt;=0,MOD(VALUE(MID(B158,IF(LEFT(B158,2)="V-",3,5),30)),1)=0,COUNTIFS(Slots!$A$2:$A$31,"E1",Slots!$B$2:$B$31,C158)=1,ISNUMBER(SEARCH("|"&amp;D158&amp;"|","|"&amp;Settings!$B$9&amp;"|")),OR(E158="regular",E158="first"),OR(F158="include",F158="duplicate",F158="late"),OR(H158="yes",H158="no"),OR(I158="success",I158="failed",I158="unknown",I158="not_sent"),OR(K158="yes",K158="no",K158="none",K158="conflict",K158="unknown"),OR(L158="text",L158="emoji",L158="voice",L158="none",L158="unknown"),OR(M158="yes",M158="no",M158="unknown"),OR(N158="yes",N158="no",N158="unknown"),ISNUMBER(O158),OR(O158=0,O158=1),OR(P158="",P158="soft_yes",P158="forgot",P158="time_place",P158="clash",P158="travel",P158="personal",P158="unknown",P158="silent_but_came"),OR(I158&lt;&gt;"success",AND(J158&lt;&gt;"",COUNTIFS($J$2:$J$201,J158,$I$2:$I$201,"success")=1)),OR(I158&lt;&gt;"not_sent",J158=""),IF(F158="duplicate",AND(COUNTIFS($A$2:$A$201,G158,$B$2:$B$201,B158,$C$2:$C$201,C158,$F$2:$F$201,"include")=1,H158="no",I158="not_sent",K158="none",M158="no",N158="no",O158=0),AND(G158="",N158&lt;&gt;"unknown",COUNTIFS($B$2:$B$201,B158,$F$2:$F$201,"&lt;&gt;duplicate")=1)),IF(F158="include",AND(H158="yes",K158&lt;&gt;"conflict",K158&lt;&gt;"unknown",M158&lt;&gt;"unknown",IF(OR(K158="yes",K158="no"),AND(M158="yes",OR(L158="text",L158="emoji",L158="voice")),L158="none")),TRUE),IF(F158="late",AND(H158="no",I158="not_sent",K158="none",L158="none",O158=0),TRUE)),"OK","CHECK"),"CHECK"))</x:f>
      </x:c>
      <x:c r="R158" s="3"/>
    </x:row>
    <x:row r="159" ht="22" customHeight="1">
      <x:c r="A159" s="8"/>
      <x:c r="B159" s="8"/>
      <x:c r="C159" s="8"/>
      <x:c r="D159" s="8"/>
      <x:c r="E159" s="7"/>
      <x:c r="F159" s="7"/>
      <x:c r="G159" s="7"/>
      <x:c r="H159" s="7"/>
      <x:c r="I159" s="7"/>
      <x:c r="J159" s="8"/>
      <x:c r="K159" s="7"/>
      <x:c r="L159" s="7"/>
      <x:c r="M159" s="7"/>
      <x:c r="N159" s="7"/>
      <x:c r="O159" s="7"/>
      <x:c r="P159" s="7"/>
      <x:c r="Q159" s="3" t="str">
        <x:f>IF(COUNTA(A159:P159)=0,"",IFERROR(IF(AND(A159&lt;&gt;"",COUNTIF($A$2:$A$201,A159)=1,OR(LEFT(B159,2)="V-",LEFT(B159,4)="SYN-"),LEN(MID(B159,IF(LEFT(B159,2)="V-",3,5),30))&gt;0,ISNUMBER(VALUE(MID(B159,IF(LEFT(B159,2)="V-",3,5),30))),VALUE(MID(B159,IF(LEFT(B159,2)="V-",3,5),30))&gt;=0,MOD(VALUE(MID(B159,IF(LEFT(B159,2)="V-",3,5),30)),1)=0,COUNTIFS(Slots!$A$2:$A$31,"E1",Slots!$B$2:$B$31,C159)=1,ISNUMBER(SEARCH("|"&amp;D159&amp;"|","|"&amp;Settings!$B$9&amp;"|")),OR(E159="regular",E159="first"),OR(F159="include",F159="duplicate",F159="late"),OR(H159="yes",H159="no"),OR(I159="success",I159="failed",I159="unknown",I159="not_sent"),OR(K159="yes",K159="no",K159="none",K159="conflict",K159="unknown"),OR(L159="text",L159="emoji",L159="voice",L159="none",L159="unknown"),OR(M159="yes",M159="no",M159="unknown"),OR(N159="yes",N159="no",N159="unknown"),ISNUMBER(O159),OR(O159=0,O159=1),OR(P159="",P159="soft_yes",P159="forgot",P159="time_place",P159="clash",P159="travel",P159="personal",P159="unknown",P159="silent_but_came"),OR(I159&lt;&gt;"success",AND(J159&lt;&gt;"",COUNTIFS($J$2:$J$201,J159,$I$2:$I$201,"success")=1)),OR(I159&lt;&gt;"not_sent",J159=""),IF(F159="duplicate",AND(COUNTIFS($A$2:$A$201,G159,$B$2:$B$201,B159,$C$2:$C$201,C159,$F$2:$F$201,"include")=1,H159="no",I159="not_sent",K159="none",M159="no",N159="no",O159=0),AND(G159="",N159&lt;&gt;"unknown",COUNTIFS($B$2:$B$201,B159,$F$2:$F$201,"&lt;&gt;duplicate")=1)),IF(F159="include",AND(H159="yes",K159&lt;&gt;"conflict",K159&lt;&gt;"unknown",M159&lt;&gt;"unknown",IF(OR(K159="yes",K159="no"),AND(M159="yes",OR(L159="text",L159="emoji",L159="voice")),L159="none")),TRUE),IF(F159="late",AND(H159="no",I159="not_sent",K159="none",L159="none",O159=0),TRUE)),"OK","CHECK"),"CHECK"))</x:f>
      </x:c>
      <x:c r="R159" s="3"/>
    </x:row>
    <x:row r="160" ht="22" customHeight="1">
      <x:c r="A160" s="8"/>
      <x:c r="B160" s="8"/>
      <x:c r="C160" s="8"/>
      <x:c r="D160" s="8"/>
      <x:c r="E160" s="7"/>
      <x:c r="F160" s="7"/>
      <x:c r="G160" s="7"/>
      <x:c r="H160" s="7"/>
      <x:c r="I160" s="7"/>
      <x:c r="J160" s="8"/>
      <x:c r="K160" s="7"/>
      <x:c r="L160" s="7"/>
      <x:c r="M160" s="7"/>
      <x:c r="N160" s="7"/>
      <x:c r="O160" s="7"/>
      <x:c r="P160" s="7"/>
      <x:c r="Q160" s="3" t="str">
        <x:f>IF(COUNTA(A160:P160)=0,"",IFERROR(IF(AND(A160&lt;&gt;"",COUNTIF($A$2:$A$201,A160)=1,OR(LEFT(B160,2)="V-",LEFT(B160,4)="SYN-"),LEN(MID(B160,IF(LEFT(B160,2)="V-",3,5),30))&gt;0,ISNUMBER(VALUE(MID(B160,IF(LEFT(B160,2)="V-",3,5),30))),VALUE(MID(B160,IF(LEFT(B160,2)="V-",3,5),30))&gt;=0,MOD(VALUE(MID(B160,IF(LEFT(B160,2)="V-",3,5),30)),1)=0,COUNTIFS(Slots!$A$2:$A$31,"E1",Slots!$B$2:$B$31,C160)=1,ISNUMBER(SEARCH("|"&amp;D160&amp;"|","|"&amp;Settings!$B$9&amp;"|")),OR(E160="regular",E160="first"),OR(F160="include",F160="duplicate",F160="late"),OR(H160="yes",H160="no"),OR(I160="success",I160="failed",I160="unknown",I160="not_sent"),OR(K160="yes",K160="no",K160="none",K160="conflict",K160="unknown"),OR(L160="text",L160="emoji",L160="voice",L160="none",L160="unknown"),OR(M160="yes",M160="no",M160="unknown"),OR(N160="yes",N160="no",N160="unknown"),ISNUMBER(O160),OR(O160=0,O160=1),OR(P160="",P160="soft_yes",P160="forgot",P160="time_place",P160="clash",P160="travel",P160="personal",P160="unknown",P160="silent_but_came"),OR(I160&lt;&gt;"success",AND(J160&lt;&gt;"",COUNTIFS($J$2:$J$201,J160,$I$2:$I$201,"success")=1)),OR(I160&lt;&gt;"not_sent",J160=""),IF(F160="duplicate",AND(COUNTIFS($A$2:$A$201,G160,$B$2:$B$201,B160,$C$2:$C$201,C160,$F$2:$F$201,"include")=1,H160="no",I160="not_sent",K160="none",M160="no",N160="no",O160=0),AND(G160="",N160&lt;&gt;"unknown",COUNTIFS($B$2:$B$201,B160,$F$2:$F$201,"&lt;&gt;duplicate")=1)),IF(F160="include",AND(H160="yes",K160&lt;&gt;"conflict",K160&lt;&gt;"unknown",M160&lt;&gt;"unknown",IF(OR(K160="yes",K160="no"),AND(M160="yes",OR(L160="text",L160="emoji",L160="voice")),L160="none")),TRUE),IF(F160="late",AND(H160="no",I160="not_sent",K160="none",L160="none",O160=0),TRUE)),"OK","CHECK"),"CHECK"))</x:f>
      </x:c>
      <x:c r="R160" s="3"/>
    </x:row>
    <x:row r="161" ht="22" customHeight="1">
      <x:c r="A161" s="8"/>
      <x:c r="B161" s="8"/>
      <x:c r="C161" s="8"/>
      <x:c r="D161" s="8"/>
      <x:c r="E161" s="7"/>
      <x:c r="F161" s="7"/>
      <x:c r="G161" s="7"/>
      <x:c r="H161" s="7"/>
      <x:c r="I161" s="7"/>
      <x:c r="J161" s="8"/>
      <x:c r="K161" s="7"/>
      <x:c r="L161" s="7"/>
      <x:c r="M161" s="7"/>
      <x:c r="N161" s="7"/>
      <x:c r="O161" s="7"/>
      <x:c r="P161" s="7"/>
      <x:c r="Q161" s="3" t="str">
        <x:f>IF(COUNTA(A161:P161)=0,"",IFERROR(IF(AND(A161&lt;&gt;"",COUNTIF($A$2:$A$201,A161)=1,OR(LEFT(B161,2)="V-",LEFT(B161,4)="SYN-"),LEN(MID(B161,IF(LEFT(B161,2)="V-",3,5),30))&gt;0,ISNUMBER(VALUE(MID(B161,IF(LEFT(B161,2)="V-",3,5),30))),VALUE(MID(B161,IF(LEFT(B161,2)="V-",3,5),30))&gt;=0,MOD(VALUE(MID(B161,IF(LEFT(B161,2)="V-",3,5),30)),1)=0,COUNTIFS(Slots!$A$2:$A$31,"E1",Slots!$B$2:$B$31,C161)=1,ISNUMBER(SEARCH("|"&amp;D161&amp;"|","|"&amp;Settings!$B$9&amp;"|")),OR(E161="regular",E161="first"),OR(F161="include",F161="duplicate",F161="late"),OR(H161="yes",H161="no"),OR(I161="success",I161="failed",I161="unknown",I161="not_sent"),OR(K161="yes",K161="no",K161="none",K161="conflict",K161="unknown"),OR(L161="text",L161="emoji",L161="voice",L161="none",L161="unknown"),OR(M161="yes",M161="no",M161="unknown"),OR(N161="yes",N161="no",N161="unknown"),ISNUMBER(O161),OR(O161=0,O161=1),OR(P161="",P161="soft_yes",P161="forgot",P161="time_place",P161="clash",P161="travel",P161="personal",P161="unknown",P161="silent_but_came"),OR(I161&lt;&gt;"success",AND(J161&lt;&gt;"",COUNTIFS($J$2:$J$201,J161,$I$2:$I$201,"success")=1)),OR(I161&lt;&gt;"not_sent",J161=""),IF(F161="duplicate",AND(COUNTIFS($A$2:$A$201,G161,$B$2:$B$201,B161,$C$2:$C$201,C161,$F$2:$F$201,"include")=1,H161="no",I161="not_sent",K161="none",M161="no",N161="no",O161=0),AND(G161="",N161&lt;&gt;"unknown",COUNTIFS($B$2:$B$201,B161,$F$2:$F$201,"&lt;&gt;duplicate")=1)),IF(F161="include",AND(H161="yes",K161&lt;&gt;"conflict",K161&lt;&gt;"unknown",M161&lt;&gt;"unknown",IF(OR(K161="yes",K161="no"),AND(M161="yes",OR(L161="text",L161="emoji",L161="voice")),L161="none")),TRUE),IF(F161="late",AND(H161="no",I161="not_sent",K161="none",L161="none",O161=0),TRUE)),"OK","CHECK"),"CHECK"))</x:f>
      </x:c>
      <x:c r="R161" s="3"/>
    </x:row>
    <x:row r="162" ht="22" customHeight="1">
      <x:c r="A162" s="8"/>
      <x:c r="B162" s="8"/>
      <x:c r="C162" s="8"/>
      <x:c r="D162" s="8"/>
      <x:c r="E162" s="7"/>
      <x:c r="F162" s="7"/>
      <x:c r="G162" s="7"/>
      <x:c r="H162" s="7"/>
      <x:c r="I162" s="7"/>
      <x:c r="J162" s="8"/>
      <x:c r="K162" s="7"/>
      <x:c r="L162" s="7"/>
      <x:c r="M162" s="7"/>
      <x:c r="N162" s="7"/>
      <x:c r="O162" s="7"/>
      <x:c r="P162" s="7"/>
      <x:c r="Q162" s="3" t="str">
        <x:f>IF(COUNTA(A162:P162)=0,"",IFERROR(IF(AND(A162&lt;&gt;"",COUNTIF($A$2:$A$201,A162)=1,OR(LEFT(B162,2)="V-",LEFT(B162,4)="SYN-"),LEN(MID(B162,IF(LEFT(B162,2)="V-",3,5),30))&gt;0,ISNUMBER(VALUE(MID(B162,IF(LEFT(B162,2)="V-",3,5),30))),VALUE(MID(B162,IF(LEFT(B162,2)="V-",3,5),30))&gt;=0,MOD(VALUE(MID(B162,IF(LEFT(B162,2)="V-",3,5),30)),1)=0,COUNTIFS(Slots!$A$2:$A$31,"E1",Slots!$B$2:$B$31,C162)=1,ISNUMBER(SEARCH("|"&amp;D162&amp;"|","|"&amp;Settings!$B$9&amp;"|")),OR(E162="regular",E162="first"),OR(F162="include",F162="duplicate",F162="late"),OR(H162="yes",H162="no"),OR(I162="success",I162="failed",I162="unknown",I162="not_sent"),OR(K162="yes",K162="no",K162="none",K162="conflict",K162="unknown"),OR(L162="text",L162="emoji",L162="voice",L162="none",L162="unknown"),OR(M162="yes",M162="no",M162="unknown"),OR(N162="yes",N162="no",N162="unknown"),ISNUMBER(O162),OR(O162=0,O162=1),OR(P162="",P162="soft_yes",P162="forgot",P162="time_place",P162="clash",P162="travel",P162="personal",P162="unknown",P162="silent_but_came"),OR(I162&lt;&gt;"success",AND(J162&lt;&gt;"",COUNTIFS($J$2:$J$201,J162,$I$2:$I$201,"success")=1)),OR(I162&lt;&gt;"not_sent",J162=""),IF(F162="duplicate",AND(COUNTIFS($A$2:$A$201,G162,$B$2:$B$201,B162,$C$2:$C$201,C162,$F$2:$F$201,"include")=1,H162="no",I162="not_sent",K162="none",M162="no",N162="no",O162=0),AND(G162="",N162&lt;&gt;"unknown",COUNTIFS($B$2:$B$201,B162,$F$2:$F$201,"&lt;&gt;duplicate")=1)),IF(F162="include",AND(H162="yes",K162&lt;&gt;"conflict",K162&lt;&gt;"unknown",M162&lt;&gt;"unknown",IF(OR(K162="yes",K162="no"),AND(M162="yes",OR(L162="text",L162="emoji",L162="voice")),L162="none")),TRUE),IF(F162="late",AND(H162="no",I162="not_sent",K162="none",L162="none",O162=0),TRUE)),"OK","CHECK"),"CHECK"))</x:f>
      </x:c>
      <x:c r="R162" s="3"/>
    </x:row>
    <x:row r="163" ht="22" customHeight="1">
      <x:c r="A163" s="8"/>
      <x:c r="B163" s="8"/>
      <x:c r="C163" s="8"/>
      <x:c r="D163" s="8"/>
      <x:c r="E163" s="7"/>
      <x:c r="F163" s="7"/>
      <x:c r="G163" s="7"/>
      <x:c r="H163" s="7"/>
      <x:c r="I163" s="7"/>
      <x:c r="J163" s="8"/>
      <x:c r="K163" s="7"/>
      <x:c r="L163" s="7"/>
      <x:c r="M163" s="7"/>
      <x:c r="N163" s="7"/>
      <x:c r="O163" s="7"/>
      <x:c r="P163" s="7"/>
      <x:c r="Q163" s="3" t="str">
        <x:f>IF(COUNTA(A163:P163)=0,"",IFERROR(IF(AND(A163&lt;&gt;"",COUNTIF($A$2:$A$201,A163)=1,OR(LEFT(B163,2)="V-",LEFT(B163,4)="SYN-"),LEN(MID(B163,IF(LEFT(B163,2)="V-",3,5),30))&gt;0,ISNUMBER(VALUE(MID(B163,IF(LEFT(B163,2)="V-",3,5),30))),VALUE(MID(B163,IF(LEFT(B163,2)="V-",3,5),30))&gt;=0,MOD(VALUE(MID(B163,IF(LEFT(B163,2)="V-",3,5),30)),1)=0,COUNTIFS(Slots!$A$2:$A$31,"E1",Slots!$B$2:$B$31,C163)=1,ISNUMBER(SEARCH("|"&amp;D163&amp;"|","|"&amp;Settings!$B$9&amp;"|")),OR(E163="regular",E163="first"),OR(F163="include",F163="duplicate",F163="late"),OR(H163="yes",H163="no"),OR(I163="success",I163="failed",I163="unknown",I163="not_sent"),OR(K163="yes",K163="no",K163="none",K163="conflict",K163="unknown"),OR(L163="text",L163="emoji",L163="voice",L163="none",L163="unknown"),OR(M163="yes",M163="no",M163="unknown"),OR(N163="yes",N163="no",N163="unknown"),ISNUMBER(O163),OR(O163=0,O163=1),OR(P163="",P163="soft_yes",P163="forgot",P163="time_place",P163="clash",P163="travel",P163="personal",P163="unknown",P163="silent_but_came"),OR(I163&lt;&gt;"success",AND(J163&lt;&gt;"",COUNTIFS($J$2:$J$201,J163,$I$2:$I$201,"success")=1)),OR(I163&lt;&gt;"not_sent",J163=""),IF(F163="duplicate",AND(COUNTIFS($A$2:$A$201,G163,$B$2:$B$201,B163,$C$2:$C$201,C163,$F$2:$F$201,"include")=1,H163="no",I163="not_sent",K163="none",M163="no",N163="no",O163=0),AND(G163="",N163&lt;&gt;"unknown",COUNTIFS($B$2:$B$201,B163,$F$2:$F$201,"&lt;&gt;duplicate")=1)),IF(F163="include",AND(H163="yes",K163&lt;&gt;"conflict",K163&lt;&gt;"unknown",M163&lt;&gt;"unknown",IF(OR(K163="yes",K163="no"),AND(M163="yes",OR(L163="text",L163="emoji",L163="voice")),L163="none")),TRUE),IF(F163="late",AND(H163="no",I163="not_sent",K163="none",L163="none",O163=0),TRUE)),"OK","CHECK"),"CHECK"))</x:f>
      </x:c>
      <x:c r="R163" s="3"/>
    </x:row>
    <x:row r="164" ht="22" customHeight="1">
      <x:c r="A164" s="8"/>
      <x:c r="B164" s="8"/>
      <x:c r="C164" s="8"/>
      <x:c r="D164" s="8"/>
      <x:c r="E164" s="7"/>
      <x:c r="F164" s="7"/>
      <x:c r="G164" s="7"/>
      <x:c r="H164" s="7"/>
      <x:c r="I164" s="7"/>
      <x:c r="J164" s="8"/>
      <x:c r="K164" s="7"/>
      <x:c r="L164" s="7"/>
      <x:c r="M164" s="7"/>
      <x:c r="N164" s="7"/>
      <x:c r="O164" s="7"/>
      <x:c r="P164" s="7"/>
      <x:c r="Q164" s="3" t="str">
        <x:f>IF(COUNTA(A164:P164)=0,"",IFERROR(IF(AND(A164&lt;&gt;"",COUNTIF($A$2:$A$201,A164)=1,OR(LEFT(B164,2)="V-",LEFT(B164,4)="SYN-"),LEN(MID(B164,IF(LEFT(B164,2)="V-",3,5),30))&gt;0,ISNUMBER(VALUE(MID(B164,IF(LEFT(B164,2)="V-",3,5),30))),VALUE(MID(B164,IF(LEFT(B164,2)="V-",3,5),30))&gt;=0,MOD(VALUE(MID(B164,IF(LEFT(B164,2)="V-",3,5),30)),1)=0,COUNTIFS(Slots!$A$2:$A$31,"E1",Slots!$B$2:$B$31,C164)=1,ISNUMBER(SEARCH("|"&amp;D164&amp;"|","|"&amp;Settings!$B$9&amp;"|")),OR(E164="regular",E164="first"),OR(F164="include",F164="duplicate",F164="late"),OR(H164="yes",H164="no"),OR(I164="success",I164="failed",I164="unknown",I164="not_sent"),OR(K164="yes",K164="no",K164="none",K164="conflict",K164="unknown"),OR(L164="text",L164="emoji",L164="voice",L164="none",L164="unknown"),OR(M164="yes",M164="no",M164="unknown"),OR(N164="yes",N164="no",N164="unknown"),ISNUMBER(O164),OR(O164=0,O164=1),OR(P164="",P164="soft_yes",P164="forgot",P164="time_place",P164="clash",P164="travel",P164="personal",P164="unknown",P164="silent_but_came"),OR(I164&lt;&gt;"success",AND(J164&lt;&gt;"",COUNTIFS($J$2:$J$201,J164,$I$2:$I$201,"success")=1)),OR(I164&lt;&gt;"not_sent",J164=""),IF(F164="duplicate",AND(COUNTIFS($A$2:$A$201,G164,$B$2:$B$201,B164,$C$2:$C$201,C164,$F$2:$F$201,"include")=1,H164="no",I164="not_sent",K164="none",M164="no",N164="no",O164=0),AND(G164="",N164&lt;&gt;"unknown",COUNTIFS($B$2:$B$201,B164,$F$2:$F$201,"&lt;&gt;duplicate")=1)),IF(F164="include",AND(H164="yes",K164&lt;&gt;"conflict",K164&lt;&gt;"unknown",M164&lt;&gt;"unknown",IF(OR(K164="yes",K164="no"),AND(M164="yes",OR(L164="text",L164="emoji",L164="voice")),L164="none")),TRUE),IF(F164="late",AND(H164="no",I164="not_sent",K164="none",L164="none",O164=0),TRUE)),"OK","CHECK"),"CHECK"))</x:f>
      </x:c>
      <x:c r="R164" s="3"/>
    </x:row>
    <x:row r="165" ht="22" customHeight="1">
      <x:c r="A165" s="8"/>
      <x:c r="B165" s="8"/>
      <x:c r="C165" s="8"/>
      <x:c r="D165" s="8"/>
      <x:c r="E165" s="7"/>
      <x:c r="F165" s="7"/>
      <x:c r="G165" s="7"/>
      <x:c r="H165" s="7"/>
      <x:c r="I165" s="7"/>
      <x:c r="J165" s="8"/>
      <x:c r="K165" s="7"/>
      <x:c r="L165" s="7"/>
      <x:c r="M165" s="7"/>
      <x:c r="N165" s="7"/>
      <x:c r="O165" s="7"/>
      <x:c r="P165" s="7"/>
      <x:c r="Q165" s="3" t="str">
        <x:f>IF(COUNTA(A165:P165)=0,"",IFERROR(IF(AND(A165&lt;&gt;"",COUNTIF($A$2:$A$201,A165)=1,OR(LEFT(B165,2)="V-",LEFT(B165,4)="SYN-"),LEN(MID(B165,IF(LEFT(B165,2)="V-",3,5),30))&gt;0,ISNUMBER(VALUE(MID(B165,IF(LEFT(B165,2)="V-",3,5),30))),VALUE(MID(B165,IF(LEFT(B165,2)="V-",3,5),30))&gt;=0,MOD(VALUE(MID(B165,IF(LEFT(B165,2)="V-",3,5),30)),1)=0,COUNTIFS(Slots!$A$2:$A$31,"E1",Slots!$B$2:$B$31,C165)=1,ISNUMBER(SEARCH("|"&amp;D165&amp;"|","|"&amp;Settings!$B$9&amp;"|")),OR(E165="regular",E165="first"),OR(F165="include",F165="duplicate",F165="late"),OR(H165="yes",H165="no"),OR(I165="success",I165="failed",I165="unknown",I165="not_sent"),OR(K165="yes",K165="no",K165="none",K165="conflict",K165="unknown"),OR(L165="text",L165="emoji",L165="voice",L165="none",L165="unknown"),OR(M165="yes",M165="no",M165="unknown"),OR(N165="yes",N165="no",N165="unknown"),ISNUMBER(O165),OR(O165=0,O165=1),OR(P165="",P165="soft_yes",P165="forgot",P165="time_place",P165="clash",P165="travel",P165="personal",P165="unknown",P165="silent_but_came"),OR(I165&lt;&gt;"success",AND(J165&lt;&gt;"",COUNTIFS($J$2:$J$201,J165,$I$2:$I$201,"success")=1)),OR(I165&lt;&gt;"not_sent",J165=""),IF(F165="duplicate",AND(COUNTIFS($A$2:$A$201,G165,$B$2:$B$201,B165,$C$2:$C$201,C165,$F$2:$F$201,"include")=1,H165="no",I165="not_sent",K165="none",M165="no",N165="no",O165=0),AND(G165="",N165&lt;&gt;"unknown",COUNTIFS($B$2:$B$201,B165,$F$2:$F$201,"&lt;&gt;duplicate")=1)),IF(F165="include",AND(H165="yes",K165&lt;&gt;"conflict",K165&lt;&gt;"unknown",M165&lt;&gt;"unknown",IF(OR(K165="yes",K165="no"),AND(M165="yes",OR(L165="text",L165="emoji",L165="voice")),L165="none")),TRUE),IF(F165="late",AND(H165="no",I165="not_sent",K165="none",L165="none",O165=0),TRUE)),"OK","CHECK"),"CHECK"))</x:f>
      </x:c>
      <x:c r="R165" s="3"/>
    </x:row>
    <x:row r="166" ht="22" customHeight="1">
      <x:c r="A166" s="8"/>
      <x:c r="B166" s="8"/>
      <x:c r="C166" s="8"/>
      <x:c r="D166" s="8"/>
      <x:c r="E166" s="7"/>
      <x:c r="F166" s="7"/>
      <x:c r="G166" s="7"/>
      <x:c r="H166" s="7"/>
      <x:c r="I166" s="7"/>
      <x:c r="J166" s="8"/>
      <x:c r="K166" s="7"/>
      <x:c r="L166" s="7"/>
      <x:c r="M166" s="7"/>
      <x:c r="N166" s="7"/>
      <x:c r="O166" s="7"/>
      <x:c r="P166" s="7"/>
      <x:c r="Q166" s="3" t="str">
        <x:f>IF(COUNTA(A166:P166)=0,"",IFERROR(IF(AND(A166&lt;&gt;"",COUNTIF($A$2:$A$201,A166)=1,OR(LEFT(B166,2)="V-",LEFT(B166,4)="SYN-"),LEN(MID(B166,IF(LEFT(B166,2)="V-",3,5),30))&gt;0,ISNUMBER(VALUE(MID(B166,IF(LEFT(B166,2)="V-",3,5),30))),VALUE(MID(B166,IF(LEFT(B166,2)="V-",3,5),30))&gt;=0,MOD(VALUE(MID(B166,IF(LEFT(B166,2)="V-",3,5),30)),1)=0,COUNTIFS(Slots!$A$2:$A$31,"E1",Slots!$B$2:$B$31,C166)=1,ISNUMBER(SEARCH("|"&amp;D166&amp;"|","|"&amp;Settings!$B$9&amp;"|")),OR(E166="regular",E166="first"),OR(F166="include",F166="duplicate",F166="late"),OR(H166="yes",H166="no"),OR(I166="success",I166="failed",I166="unknown",I166="not_sent"),OR(K166="yes",K166="no",K166="none",K166="conflict",K166="unknown"),OR(L166="text",L166="emoji",L166="voice",L166="none",L166="unknown"),OR(M166="yes",M166="no",M166="unknown"),OR(N166="yes",N166="no",N166="unknown"),ISNUMBER(O166),OR(O166=0,O166=1),OR(P166="",P166="soft_yes",P166="forgot",P166="time_place",P166="clash",P166="travel",P166="personal",P166="unknown",P166="silent_but_came"),OR(I166&lt;&gt;"success",AND(J166&lt;&gt;"",COUNTIFS($J$2:$J$201,J166,$I$2:$I$201,"success")=1)),OR(I166&lt;&gt;"not_sent",J166=""),IF(F166="duplicate",AND(COUNTIFS($A$2:$A$201,G166,$B$2:$B$201,B166,$C$2:$C$201,C166,$F$2:$F$201,"include")=1,H166="no",I166="not_sent",K166="none",M166="no",N166="no",O166=0),AND(G166="",N166&lt;&gt;"unknown",COUNTIFS($B$2:$B$201,B166,$F$2:$F$201,"&lt;&gt;duplicate")=1)),IF(F166="include",AND(H166="yes",K166&lt;&gt;"conflict",K166&lt;&gt;"unknown",M166&lt;&gt;"unknown",IF(OR(K166="yes",K166="no"),AND(M166="yes",OR(L166="text",L166="emoji",L166="voice")),L166="none")),TRUE),IF(F166="late",AND(H166="no",I166="not_sent",K166="none",L166="none",O166=0),TRUE)),"OK","CHECK"),"CHECK"))</x:f>
      </x:c>
      <x:c r="R166" s="3"/>
    </x:row>
    <x:row r="167" ht="22" customHeight="1">
      <x:c r="A167" s="8"/>
      <x:c r="B167" s="8"/>
      <x:c r="C167" s="8"/>
      <x:c r="D167" s="8"/>
      <x:c r="E167" s="7"/>
      <x:c r="F167" s="7"/>
      <x:c r="G167" s="7"/>
      <x:c r="H167" s="7"/>
      <x:c r="I167" s="7"/>
      <x:c r="J167" s="8"/>
      <x:c r="K167" s="7"/>
      <x:c r="L167" s="7"/>
      <x:c r="M167" s="7"/>
      <x:c r="N167" s="7"/>
      <x:c r="O167" s="7"/>
      <x:c r="P167" s="7"/>
      <x:c r="Q167" s="3" t="str">
        <x:f>IF(COUNTA(A167:P167)=0,"",IFERROR(IF(AND(A167&lt;&gt;"",COUNTIF($A$2:$A$201,A167)=1,OR(LEFT(B167,2)="V-",LEFT(B167,4)="SYN-"),LEN(MID(B167,IF(LEFT(B167,2)="V-",3,5),30))&gt;0,ISNUMBER(VALUE(MID(B167,IF(LEFT(B167,2)="V-",3,5),30))),VALUE(MID(B167,IF(LEFT(B167,2)="V-",3,5),30))&gt;=0,MOD(VALUE(MID(B167,IF(LEFT(B167,2)="V-",3,5),30)),1)=0,COUNTIFS(Slots!$A$2:$A$31,"E1",Slots!$B$2:$B$31,C167)=1,ISNUMBER(SEARCH("|"&amp;D167&amp;"|","|"&amp;Settings!$B$9&amp;"|")),OR(E167="regular",E167="first"),OR(F167="include",F167="duplicate",F167="late"),OR(H167="yes",H167="no"),OR(I167="success",I167="failed",I167="unknown",I167="not_sent"),OR(K167="yes",K167="no",K167="none",K167="conflict",K167="unknown"),OR(L167="text",L167="emoji",L167="voice",L167="none",L167="unknown"),OR(M167="yes",M167="no",M167="unknown"),OR(N167="yes",N167="no",N167="unknown"),ISNUMBER(O167),OR(O167=0,O167=1),OR(P167="",P167="soft_yes",P167="forgot",P167="time_place",P167="clash",P167="travel",P167="personal",P167="unknown",P167="silent_but_came"),OR(I167&lt;&gt;"success",AND(J167&lt;&gt;"",COUNTIFS($J$2:$J$201,J167,$I$2:$I$201,"success")=1)),OR(I167&lt;&gt;"not_sent",J167=""),IF(F167="duplicate",AND(COUNTIFS($A$2:$A$201,G167,$B$2:$B$201,B167,$C$2:$C$201,C167,$F$2:$F$201,"include")=1,H167="no",I167="not_sent",K167="none",M167="no",N167="no",O167=0),AND(G167="",N167&lt;&gt;"unknown",COUNTIFS($B$2:$B$201,B167,$F$2:$F$201,"&lt;&gt;duplicate")=1)),IF(F167="include",AND(H167="yes",K167&lt;&gt;"conflict",K167&lt;&gt;"unknown",M167&lt;&gt;"unknown",IF(OR(K167="yes",K167="no"),AND(M167="yes",OR(L167="text",L167="emoji",L167="voice")),L167="none")),TRUE),IF(F167="late",AND(H167="no",I167="not_sent",K167="none",L167="none",O167=0),TRUE)),"OK","CHECK"),"CHECK"))</x:f>
      </x:c>
      <x:c r="R167" s="3"/>
    </x:row>
    <x:row r="168" ht="22" customHeight="1">
      <x:c r="A168" s="8"/>
      <x:c r="B168" s="8"/>
      <x:c r="C168" s="8"/>
      <x:c r="D168" s="8"/>
      <x:c r="E168" s="7"/>
      <x:c r="F168" s="7"/>
      <x:c r="G168" s="7"/>
      <x:c r="H168" s="7"/>
      <x:c r="I168" s="7"/>
      <x:c r="J168" s="8"/>
      <x:c r="K168" s="7"/>
      <x:c r="L168" s="7"/>
      <x:c r="M168" s="7"/>
      <x:c r="N168" s="7"/>
      <x:c r="O168" s="7"/>
      <x:c r="P168" s="7"/>
      <x:c r="Q168" s="3" t="str">
        <x:f>IF(COUNTA(A168:P168)=0,"",IFERROR(IF(AND(A168&lt;&gt;"",COUNTIF($A$2:$A$201,A168)=1,OR(LEFT(B168,2)="V-",LEFT(B168,4)="SYN-"),LEN(MID(B168,IF(LEFT(B168,2)="V-",3,5),30))&gt;0,ISNUMBER(VALUE(MID(B168,IF(LEFT(B168,2)="V-",3,5),30))),VALUE(MID(B168,IF(LEFT(B168,2)="V-",3,5),30))&gt;=0,MOD(VALUE(MID(B168,IF(LEFT(B168,2)="V-",3,5),30)),1)=0,COUNTIFS(Slots!$A$2:$A$31,"E1",Slots!$B$2:$B$31,C168)=1,ISNUMBER(SEARCH("|"&amp;D168&amp;"|","|"&amp;Settings!$B$9&amp;"|")),OR(E168="regular",E168="first"),OR(F168="include",F168="duplicate",F168="late"),OR(H168="yes",H168="no"),OR(I168="success",I168="failed",I168="unknown",I168="not_sent"),OR(K168="yes",K168="no",K168="none",K168="conflict",K168="unknown"),OR(L168="text",L168="emoji",L168="voice",L168="none",L168="unknown"),OR(M168="yes",M168="no",M168="unknown"),OR(N168="yes",N168="no",N168="unknown"),ISNUMBER(O168),OR(O168=0,O168=1),OR(P168="",P168="soft_yes",P168="forgot",P168="time_place",P168="clash",P168="travel",P168="personal",P168="unknown",P168="silent_but_came"),OR(I168&lt;&gt;"success",AND(J168&lt;&gt;"",COUNTIFS($J$2:$J$201,J168,$I$2:$I$201,"success")=1)),OR(I168&lt;&gt;"not_sent",J168=""),IF(F168="duplicate",AND(COUNTIFS($A$2:$A$201,G168,$B$2:$B$201,B168,$C$2:$C$201,C168,$F$2:$F$201,"include")=1,H168="no",I168="not_sent",K168="none",M168="no",N168="no",O168=0),AND(G168="",N168&lt;&gt;"unknown",COUNTIFS($B$2:$B$201,B168,$F$2:$F$201,"&lt;&gt;duplicate")=1)),IF(F168="include",AND(H168="yes",K168&lt;&gt;"conflict",K168&lt;&gt;"unknown",M168&lt;&gt;"unknown",IF(OR(K168="yes",K168="no"),AND(M168="yes",OR(L168="text",L168="emoji",L168="voice")),L168="none")),TRUE),IF(F168="late",AND(H168="no",I168="not_sent",K168="none",L168="none",O168=0),TRUE)),"OK","CHECK"),"CHECK"))</x:f>
      </x:c>
      <x:c r="R168" s="3"/>
    </x:row>
    <x:row r="169" ht="22" customHeight="1">
      <x:c r="A169" s="8"/>
      <x:c r="B169" s="8"/>
      <x:c r="C169" s="8"/>
      <x:c r="D169" s="8"/>
      <x:c r="E169" s="7"/>
      <x:c r="F169" s="7"/>
      <x:c r="G169" s="7"/>
      <x:c r="H169" s="7"/>
      <x:c r="I169" s="7"/>
      <x:c r="J169" s="8"/>
      <x:c r="K169" s="7"/>
      <x:c r="L169" s="7"/>
      <x:c r="M169" s="7"/>
      <x:c r="N169" s="7"/>
      <x:c r="O169" s="7"/>
      <x:c r="P169" s="7"/>
      <x:c r="Q169" s="3" t="str">
        <x:f>IF(COUNTA(A169:P169)=0,"",IFERROR(IF(AND(A169&lt;&gt;"",COUNTIF($A$2:$A$201,A169)=1,OR(LEFT(B169,2)="V-",LEFT(B169,4)="SYN-"),LEN(MID(B169,IF(LEFT(B169,2)="V-",3,5),30))&gt;0,ISNUMBER(VALUE(MID(B169,IF(LEFT(B169,2)="V-",3,5),30))),VALUE(MID(B169,IF(LEFT(B169,2)="V-",3,5),30))&gt;=0,MOD(VALUE(MID(B169,IF(LEFT(B169,2)="V-",3,5),30)),1)=0,COUNTIFS(Slots!$A$2:$A$31,"E1",Slots!$B$2:$B$31,C169)=1,ISNUMBER(SEARCH("|"&amp;D169&amp;"|","|"&amp;Settings!$B$9&amp;"|")),OR(E169="regular",E169="first"),OR(F169="include",F169="duplicate",F169="late"),OR(H169="yes",H169="no"),OR(I169="success",I169="failed",I169="unknown",I169="not_sent"),OR(K169="yes",K169="no",K169="none",K169="conflict",K169="unknown"),OR(L169="text",L169="emoji",L169="voice",L169="none",L169="unknown"),OR(M169="yes",M169="no",M169="unknown"),OR(N169="yes",N169="no",N169="unknown"),ISNUMBER(O169),OR(O169=0,O169=1),OR(P169="",P169="soft_yes",P169="forgot",P169="time_place",P169="clash",P169="travel",P169="personal",P169="unknown",P169="silent_but_came"),OR(I169&lt;&gt;"success",AND(J169&lt;&gt;"",COUNTIFS($J$2:$J$201,J169,$I$2:$I$201,"success")=1)),OR(I169&lt;&gt;"not_sent",J169=""),IF(F169="duplicate",AND(COUNTIFS($A$2:$A$201,G169,$B$2:$B$201,B169,$C$2:$C$201,C169,$F$2:$F$201,"include")=1,H169="no",I169="not_sent",K169="none",M169="no",N169="no",O169=0),AND(G169="",N169&lt;&gt;"unknown",COUNTIFS($B$2:$B$201,B169,$F$2:$F$201,"&lt;&gt;duplicate")=1)),IF(F169="include",AND(H169="yes",K169&lt;&gt;"conflict",K169&lt;&gt;"unknown",M169&lt;&gt;"unknown",IF(OR(K169="yes",K169="no"),AND(M169="yes",OR(L169="text",L169="emoji",L169="voice")),L169="none")),TRUE),IF(F169="late",AND(H169="no",I169="not_sent",K169="none",L169="none",O169=0),TRUE)),"OK","CHECK"),"CHECK"))</x:f>
      </x:c>
      <x:c r="R169" s="3"/>
    </x:row>
    <x:row r="170" ht="22" customHeight="1">
      <x:c r="A170" s="8"/>
      <x:c r="B170" s="8"/>
      <x:c r="C170" s="8"/>
      <x:c r="D170" s="8"/>
      <x:c r="E170" s="7"/>
      <x:c r="F170" s="7"/>
      <x:c r="G170" s="7"/>
      <x:c r="H170" s="7"/>
      <x:c r="I170" s="7"/>
      <x:c r="J170" s="8"/>
      <x:c r="K170" s="7"/>
      <x:c r="L170" s="7"/>
      <x:c r="M170" s="7"/>
      <x:c r="N170" s="7"/>
      <x:c r="O170" s="7"/>
      <x:c r="P170" s="7"/>
      <x:c r="Q170" s="3" t="str">
        <x:f>IF(COUNTA(A170:P170)=0,"",IFERROR(IF(AND(A170&lt;&gt;"",COUNTIF($A$2:$A$201,A170)=1,OR(LEFT(B170,2)="V-",LEFT(B170,4)="SYN-"),LEN(MID(B170,IF(LEFT(B170,2)="V-",3,5),30))&gt;0,ISNUMBER(VALUE(MID(B170,IF(LEFT(B170,2)="V-",3,5),30))),VALUE(MID(B170,IF(LEFT(B170,2)="V-",3,5),30))&gt;=0,MOD(VALUE(MID(B170,IF(LEFT(B170,2)="V-",3,5),30)),1)=0,COUNTIFS(Slots!$A$2:$A$31,"E1",Slots!$B$2:$B$31,C170)=1,ISNUMBER(SEARCH("|"&amp;D170&amp;"|","|"&amp;Settings!$B$9&amp;"|")),OR(E170="regular",E170="first"),OR(F170="include",F170="duplicate",F170="late"),OR(H170="yes",H170="no"),OR(I170="success",I170="failed",I170="unknown",I170="not_sent"),OR(K170="yes",K170="no",K170="none",K170="conflict",K170="unknown"),OR(L170="text",L170="emoji",L170="voice",L170="none",L170="unknown"),OR(M170="yes",M170="no",M170="unknown"),OR(N170="yes",N170="no",N170="unknown"),ISNUMBER(O170),OR(O170=0,O170=1),OR(P170="",P170="soft_yes",P170="forgot",P170="time_place",P170="clash",P170="travel",P170="personal",P170="unknown",P170="silent_but_came"),OR(I170&lt;&gt;"success",AND(J170&lt;&gt;"",COUNTIFS($J$2:$J$201,J170,$I$2:$I$201,"success")=1)),OR(I170&lt;&gt;"not_sent",J170=""),IF(F170="duplicate",AND(COUNTIFS($A$2:$A$201,G170,$B$2:$B$201,B170,$C$2:$C$201,C170,$F$2:$F$201,"include")=1,H170="no",I170="not_sent",K170="none",M170="no",N170="no",O170=0),AND(G170="",N170&lt;&gt;"unknown",COUNTIFS($B$2:$B$201,B170,$F$2:$F$201,"&lt;&gt;duplicate")=1)),IF(F170="include",AND(H170="yes",K170&lt;&gt;"conflict",K170&lt;&gt;"unknown",M170&lt;&gt;"unknown",IF(OR(K170="yes",K170="no"),AND(M170="yes",OR(L170="text",L170="emoji",L170="voice")),L170="none")),TRUE),IF(F170="late",AND(H170="no",I170="not_sent",K170="none",L170="none",O170=0),TRUE)),"OK","CHECK"),"CHECK"))</x:f>
      </x:c>
      <x:c r="R170" s="3"/>
    </x:row>
    <x:row r="171" ht="22" customHeight="1">
      <x:c r="A171" s="8"/>
      <x:c r="B171" s="8"/>
      <x:c r="C171" s="8"/>
      <x:c r="D171" s="8"/>
      <x:c r="E171" s="7"/>
      <x:c r="F171" s="7"/>
      <x:c r="G171" s="7"/>
      <x:c r="H171" s="7"/>
      <x:c r="I171" s="7"/>
      <x:c r="J171" s="8"/>
      <x:c r="K171" s="7"/>
      <x:c r="L171" s="7"/>
      <x:c r="M171" s="7"/>
      <x:c r="N171" s="7"/>
      <x:c r="O171" s="7"/>
      <x:c r="P171" s="7"/>
      <x:c r="Q171" s="3" t="str">
        <x:f>IF(COUNTA(A171:P171)=0,"",IFERROR(IF(AND(A171&lt;&gt;"",COUNTIF($A$2:$A$201,A171)=1,OR(LEFT(B171,2)="V-",LEFT(B171,4)="SYN-"),LEN(MID(B171,IF(LEFT(B171,2)="V-",3,5),30))&gt;0,ISNUMBER(VALUE(MID(B171,IF(LEFT(B171,2)="V-",3,5),30))),VALUE(MID(B171,IF(LEFT(B171,2)="V-",3,5),30))&gt;=0,MOD(VALUE(MID(B171,IF(LEFT(B171,2)="V-",3,5),30)),1)=0,COUNTIFS(Slots!$A$2:$A$31,"E1",Slots!$B$2:$B$31,C171)=1,ISNUMBER(SEARCH("|"&amp;D171&amp;"|","|"&amp;Settings!$B$9&amp;"|")),OR(E171="regular",E171="first"),OR(F171="include",F171="duplicate",F171="late"),OR(H171="yes",H171="no"),OR(I171="success",I171="failed",I171="unknown",I171="not_sent"),OR(K171="yes",K171="no",K171="none",K171="conflict",K171="unknown"),OR(L171="text",L171="emoji",L171="voice",L171="none",L171="unknown"),OR(M171="yes",M171="no",M171="unknown"),OR(N171="yes",N171="no",N171="unknown"),ISNUMBER(O171),OR(O171=0,O171=1),OR(P171="",P171="soft_yes",P171="forgot",P171="time_place",P171="clash",P171="travel",P171="personal",P171="unknown",P171="silent_but_came"),OR(I171&lt;&gt;"success",AND(J171&lt;&gt;"",COUNTIFS($J$2:$J$201,J171,$I$2:$I$201,"success")=1)),OR(I171&lt;&gt;"not_sent",J171=""),IF(F171="duplicate",AND(COUNTIFS($A$2:$A$201,G171,$B$2:$B$201,B171,$C$2:$C$201,C171,$F$2:$F$201,"include")=1,H171="no",I171="not_sent",K171="none",M171="no",N171="no",O171=0),AND(G171="",N171&lt;&gt;"unknown",COUNTIFS($B$2:$B$201,B171,$F$2:$F$201,"&lt;&gt;duplicate")=1)),IF(F171="include",AND(H171="yes",K171&lt;&gt;"conflict",K171&lt;&gt;"unknown",M171&lt;&gt;"unknown",IF(OR(K171="yes",K171="no"),AND(M171="yes",OR(L171="text",L171="emoji",L171="voice")),L171="none")),TRUE),IF(F171="late",AND(H171="no",I171="not_sent",K171="none",L171="none",O171=0),TRUE)),"OK","CHECK"),"CHECK"))</x:f>
      </x:c>
      <x:c r="R171" s="3"/>
    </x:row>
    <x:row r="172" ht="22" customHeight="1">
      <x:c r="A172" s="8"/>
      <x:c r="B172" s="8"/>
      <x:c r="C172" s="8"/>
      <x:c r="D172" s="8"/>
      <x:c r="E172" s="7"/>
      <x:c r="F172" s="7"/>
      <x:c r="G172" s="7"/>
      <x:c r="H172" s="7"/>
      <x:c r="I172" s="7"/>
      <x:c r="J172" s="8"/>
      <x:c r="K172" s="7"/>
      <x:c r="L172" s="7"/>
      <x:c r="M172" s="7"/>
      <x:c r="N172" s="7"/>
      <x:c r="O172" s="7"/>
      <x:c r="P172" s="7"/>
      <x:c r="Q172" s="3" t="str">
        <x:f>IF(COUNTA(A172:P172)=0,"",IFERROR(IF(AND(A172&lt;&gt;"",COUNTIF($A$2:$A$201,A172)=1,OR(LEFT(B172,2)="V-",LEFT(B172,4)="SYN-"),LEN(MID(B172,IF(LEFT(B172,2)="V-",3,5),30))&gt;0,ISNUMBER(VALUE(MID(B172,IF(LEFT(B172,2)="V-",3,5),30))),VALUE(MID(B172,IF(LEFT(B172,2)="V-",3,5),30))&gt;=0,MOD(VALUE(MID(B172,IF(LEFT(B172,2)="V-",3,5),30)),1)=0,COUNTIFS(Slots!$A$2:$A$31,"E1",Slots!$B$2:$B$31,C172)=1,ISNUMBER(SEARCH("|"&amp;D172&amp;"|","|"&amp;Settings!$B$9&amp;"|")),OR(E172="regular",E172="first"),OR(F172="include",F172="duplicate",F172="late"),OR(H172="yes",H172="no"),OR(I172="success",I172="failed",I172="unknown",I172="not_sent"),OR(K172="yes",K172="no",K172="none",K172="conflict",K172="unknown"),OR(L172="text",L172="emoji",L172="voice",L172="none",L172="unknown"),OR(M172="yes",M172="no",M172="unknown"),OR(N172="yes",N172="no",N172="unknown"),ISNUMBER(O172),OR(O172=0,O172=1),OR(P172="",P172="soft_yes",P172="forgot",P172="time_place",P172="clash",P172="travel",P172="personal",P172="unknown",P172="silent_but_came"),OR(I172&lt;&gt;"success",AND(J172&lt;&gt;"",COUNTIFS($J$2:$J$201,J172,$I$2:$I$201,"success")=1)),OR(I172&lt;&gt;"not_sent",J172=""),IF(F172="duplicate",AND(COUNTIFS($A$2:$A$201,G172,$B$2:$B$201,B172,$C$2:$C$201,C172,$F$2:$F$201,"include")=1,H172="no",I172="not_sent",K172="none",M172="no",N172="no",O172=0),AND(G172="",N172&lt;&gt;"unknown",COUNTIFS($B$2:$B$201,B172,$F$2:$F$201,"&lt;&gt;duplicate")=1)),IF(F172="include",AND(H172="yes",K172&lt;&gt;"conflict",K172&lt;&gt;"unknown",M172&lt;&gt;"unknown",IF(OR(K172="yes",K172="no"),AND(M172="yes",OR(L172="text",L172="emoji",L172="voice")),L172="none")),TRUE),IF(F172="late",AND(H172="no",I172="not_sent",K172="none",L172="none",O172=0),TRUE)),"OK","CHECK"),"CHECK"))</x:f>
      </x:c>
      <x:c r="R172" s="3"/>
    </x:row>
    <x:row r="173" ht="22" customHeight="1">
      <x:c r="A173" s="8"/>
      <x:c r="B173" s="8"/>
      <x:c r="C173" s="8"/>
      <x:c r="D173" s="8"/>
      <x:c r="E173" s="7"/>
      <x:c r="F173" s="7"/>
      <x:c r="G173" s="7"/>
      <x:c r="H173" s="7"/>
      <x:c r="I173" s="7"/>
      <x:c r="J173" s="8"/>
      <x:c r="K173" s="7"/>
      <x:c r="L173" s="7"/>
      <x:c r="M173" s="7"/>
      <x:c r="N173" s="7"/>
      <x:c r="O173" s="7"/>
      <x:c r="P173" s="7"/>
      <x:c r="Q173" s="3" t="str">
        <x:f>IF(COUNTA(A173:P173)=0,"",IFERROR(IF(AND(A173&lt;&gt;"",COUNTIF($A$2:$A$201,A173)=1,OR(LEFT(B173,2)="V-",LEFT(B173,4)="SYN-"),LEN(MID(B173,IF(LEFT(B173,2)="V-",3,5),30))&gt;0,ISNUMBER(VALUE(MID(B173,IF(LEFT(B173,2)="V-",3,5),30))),VALUE(MID(B173,IF(LEFT(B173,2)="V-",3,5),30))&gt;=0,MOD(VALUE(MID(B173,IF(LEFT(B173,2)="V-",3,5),30)),1)=0,COUNTIFS(Slots!$A$2:$A$31,"E1",Slots!$B$2:$B$31,C173)=1,ISNUMBER(SEARCH("|"&amp;D173&amp;"|","|"&amp;Settings!$B$9&amp;"|")),OR(E173="regular",E173="first"),OR(F173="include",F173="duplicate",F173="late"),OR(H173="yes",H173="no"),OR(I173="success",I173="failed",I173="unknown",I173="not_sent"),OR(K173="yes",K173="no",K173="none",K173="conflict",K173="unknown"),OR(L173="text",L173="emoji",L173="voice",L173="none",L173="unknown"),OR(M173="yes",M173="no",M173="unknown"),OR(N173="yes",N173="no",N173="unknown"),ISNUMBER(O173),OR(O173=0,O173=1),OR(P173="",P173="soft_yes",P173="forgot",P173="time_place",P173="clash",P173="travel",P173="personal",P173="unknown",P173="silent_but_came"),OR(I173&lt;&gt;"success",AND(J173&lt;&gt;"",COUNTIFS($J$2:$J$201,J173,$I$2:$I$201,"success")=1)),OR(I173&lt;&gt;"not_sent",J173=""),IF(F173="duplicate",AND(COUNTIFS($A$2:$A$201,G173,$B$2:$B$201,B173,$C$2:$C$201,C173,$F$2:$F$201,"include")=1,H173="no",I173="not_sent",K173="none",M173="no",N173="no",O173=0),AND(G173="",N173&lt;&gt;"unknown",COUNTIFS($B$2:$B$201,B173,$F$2:$F$201,"&lt;&gt;duplicate")=1)),IF(F173="include",AND(H173="yes",K173&lt;&gt;"conflict",K173&lt;&gt;"unknown",M173&lt;&gt;"unknown",IF(OR(K173="yes",K173="no"),AND(M173="yes",OR(L173="text",L173="emoji",L173="voice")),L173="none")),TRUE),IF(F173="late",AND(H173="no",I173="not_sent",K173="none",L173="none",O173=0),TRUE)),"OK","CHECK"),"CHECK"))</x:f>
      </x:c>
      <x:c r="R173" s="3"/>
    </x:row>
    <x:row r="174" ht="22" customHeight="1">
      <x:c r="A174" s="8"/>
      <x:c r="B174" s="8"/>
      <x:c r="C174" s="8"/>
      <x:c r="D174" s="8"/>
      <x:c r="E174" s="7"/>
      <x:c r="F174" s="7"/>
      <x:c r="G174" s="7"/>
      <x:c r="H174" s="7"/>
      <x:c r="I174" s="7"/>
      <x:c r="J174" s="8"/>
      <x:c r="K174" s="7"/>
      <x:c r="L174" s="7"/>
      <x:c r="M174" s="7"/>
      <x:c r="N174" s="7"/>
      <x:c r="O174" s="7"/>
      <x:c r="P174" s="7"/>
      <x:c r="Q174" s="3" t="str">
        <x:f>IF(COUNTA(A174:P174)=0,"",IFERROR(IF(AND(A174&lt;&gt;"",COUNTIF($A$2:$A$201,A174)=1,OR(LEFT(B174,2)="V-",LEFT(B174,4)="SYN-"),LEN(MID(B174,IF(LEFT(B174,2)="V-",3,5),30))&gt;0,ISNUMBER(VALUE(MID(B174,IF(LEFT(B174,2)="V-",3,5),30))),VALUE(MID(B174,IF(LEFT(B174,2)="V-",3,5),30))&gt;=0,MOD(VALUE(MID(B174,IF(LEFT(B174,2)="V-",3,5),30)),1)=0,COUNTIFS(Slots!$A$2:$A$31,"E1",Slots!$B$2:$B$31,C174)=1,ISNUMBER(SEARCH("|"&amp;D174&amp;"|","|"&amp;Settings!$B$9&amp;"|")),OR(E174="regular",E174="first"),OR(F174="include",F174="duplicate",F174="late"),OR(H174="yes",H174="no"),OR(I174="success",I174="failed",I174="unknown",I174="not_sent"),OR(K174="yes",K174="no",K174="none",K174="conflict",K174="unknown"),OR(L174="text",L174="emoji",L174="voice",L174="none",L174="unknown"),OR(M174="yes",M174="no",M174="unknown"),OR(N174="yes",N174="no",N174="unknown"),ISNUMBER(O174),OR(O174=0,O174=1),OR(P174="",P174="soft_yes",P174="forgot",P174="time_place",P174="clash",P174="travel",P174="personal",P174="unknown",P174="silent_but_came"),OR(I174&lt;&gt;"success",AND(J174&lt;&gt;"",COUNTIFS($J$2:$J$201,J174,$I$2:$I$201,"success")=1)),OR(I174&lt;&gt;"not_sent",J174=""),IF(F174="duplicate",AND(COUNTIFS($A$2:$A$201,G174,$B$2:$B$201,B174,$C$2:$C$201,C174,$F$2:$F$201,"include")=1,H174="no",I174="not_sent",K174="none",M174="no",N174="no",O174=0),AND(G174="",N174&lt;&gt;"unknown",COUNTIFS($B$2:$B$201,B174,$F$2:$F$201,"&lt;&gt;duplicate")=1)),IF(F174="include",AND(H174="yes",K174&lt;&gt;"conflict",K174&lt;&gt;"unknown",M174&lt;&gt;"unknown",IF(OR(K174="yes",K174="no"),AND(M174="yes",OR(L174="text",L174="emoji",L174="voice")),L174="none")),TRUE),IF(F174="late",AND(H174="no",I174="not_sent",K174="none",L174="none",O174=0),TRUE)),"OK","CHECK"),"CHECK"))</x:f>
      </x:c>
      <x:c r="R174" s="3"/>
    </x:row>
    <x:row r="175" ht="22" customHeight="1">
      <x:c r="A175" s="8"/>
      <x:c r="B175" s="8"/>
      <x:c r="C175" s="8"/>
      <x:c r="D175" s="8"/>
      <x:c r="E175" s="7"/>
      <x:c r="F175" s="7"/>
      <x:c r="G175" s="7"/>
      <x:c r="H175" s="7"/>
      <x:c r="I175" s="7"/>
      <x:c r="J175" s="8"/>
      <x:c r="K175" s="7"/>
      <x:c r="L175" s="7"/>
      <x:c r="M175" s="7"/>
      <x:c r="N175" s="7"/>
      <x:c r="O175" s="7"/>
      <x:c r="P175" s="7"/>
      <x:c r="Q175" s="3" t="str">
        <x:f>IF(COUNTA(A175:P175)=0,"",IFERROR(IF(AND(A175&lt;&gt;"",COUNTIF($A$2:$A$201,A175)=1,OR(LEFT(B175,2)="V-",LEFT(B175,4)="SYN-"),LEN(MID(B175,IF(LEFT(B175,2)="V-",3,5),30))&gt;0,ISNUMBER(VALUE(MID(B175,IF(LEFT(B175,2)="V-",3,5),30))),VALUE(MID(B175,IF(LEFT(B175,2)="V-",3,5),30))&gt;=0,MOD(VALUE(MID(B175,IF(LEFT(B175,2)="V-",3,5),30)),1)=0,COUNTIFS(Slots!$A$2:$A$31,"E1",Slots!$B$2:$B$31,C175)=1,ISNUMBER(SEARCH("|"&amp;D175&amp;"|","|"&amp;Settings!$B$9&amp;"|")),OR(E175="regular",E175="first"),OR(F175="include",F175="duplicate",F175="late"),OR(H175="yes",H175="no"),OR(I175="success",I175="failed",I175="unknown",I175="not_sent"),OR(K175="yes",K175="no",K175="none",K175="conflict",K175="unknown"),OR(L175="text",L175="emoji",L175="voice",L175="none",L175="unknown"),OR(M175="yes",M175="no",M175="unknown"),OR(N175="yes",N175="no",N175="unknown"),ISNUMBER(O175),OR(O175=0,O175=1),OR(P175="",P175="soft_yes",P175="forgot",P175="time_place",P175="clash",P175="travel",P175="personal",P175="unknown",P175="silent_but_came"),OR(I175&lt;&gt;"success",AND(J175&lt;&gt;"",COUNTIFS($J$2:$J$201,J175,$I$2:$I$201,"success")=1)),OR(I175&lt;&gt;"not_sent",J175=""),IF(F175="duplicate",AND(COUNTIFS($A$2:$A$201,G175,$B$2:$B$201,B175,$C$2:$C$201,C175,$F$2:$F$201,"include")=1,H175="no",I175="not_sent",K175="none",M175="no",N175="no",O175=0),AND(G175="",N175&lt;&gt;"unknown",COUNTIFS($B$2:$B$201,B175,$F$2:$F$201,"&lt;&gt;duplicate")=1)),IF(F175="include",AND(H175="yes",K175&lt;&gt;"conflict",K175&lt;&gt;"unknown",M175&lt;&gt;"unknown",IF(OR(K175="yes",K175="no"),AND(M175="yes",OR(L175="text",L175="emoji",L175="voice")),L175="none")),TRUE),IF(F175="late",AND(H175="no",I175="not_sent",K175="none",L175="none",O175=0),TRUE)),"OK","CHECK"),"CHECK"))</x:f>
      </x:c>
      <x:c r="R175" s="3"/>
    </x:row>
    <x:row r="176" ht="22" customHeight="1">
      <x:c r="A176" s="8"/>
      <x:c r="B176" s="8"/>
      <x:c r="C176" s="8"/>
      <x:c r="D176" s="8"/>
      <x:c r="E176" s="7"/>
      <x:c r="F176" s="7"/>
      <x:c r="G176" s="7"/>
      <x:c r="H176" s="7"/>
      <x:c r="I176" s="7"/>
      <x:c r="J176" s="8"/>
      <x:c r="K176" s="7"/>
      <x:c r="L176" s="7"/>
      <x:c r="M176" s="7"/>
      <x:c r="N176" s="7"/>
      <x:c r="O176" s="7"/>
      <x:c r="P176" s="7"/>
      <x:c r="Q176" s="3" t="str">
        <x:f>IF(COUNTA(A176:P176)=0,"",IFERROR(IF(AND(A176&lt;&gt;"",COUNTIF($A$2:$A$201,A176)=1,OR(LEFT(B176,2)="V-",LEFT(B176,4)="SYN-"),LEN(MID(B176,IF(LEFT(B176,2)="V-",3,5),30))&gt;0,ISNUMBER(VALUE(MID(B176,IF(LEFT(B176,2)="V-",3,5),30))),VALUE(MID(B176,IF(LEFT(B176,2)="V-",3,5),30))&gt;=0,MOD(VALUE(MID(B176,IF(LEFT(B176,2)="V-",3,5),30)),1)=0,COUNTIFS(Slots!$A$2:$A$31,"E1",Slots!$B$2:$B$31,C176)=1,ISNUMBER(SEARCH("|"&amp;D176&amp;"|","|"&amp;Settings!$B$9&amp;"|")),OR(E176="regular",E176="first"),OR(F176="include",F176="duplicate",F176="late"),OR(H176="yes",H176="no"),OR(I176="success",I176="failed",I176="unknown",I176="not_sent"),OR(K176="yes",K176="no",K176="none",K176="conflict",K176="unknown"),OR(L176="text",L176="emoji",L176="voice",L176="none",L176="unknown"),OR(M176="yes",M176="no",M176="unknown"),OR(N176="yes",N176="no",N176="unknown"),ISNUMBER(O176),OR(O176=0,O176=1),OR(P176="",P176="soft_yes",P176="forgot",P176="time_place",P176="clash",P176="travel",P176="personal",P176="unknown",P176="silent_but_came"),OR(I176&lt;&gt;"success",AND(J176&lt;&gt;"",COUNTIFS($J$2:$J$201,J176,$I$2:$I$201,"success")=1)),OR(I176&lt;&gt;"not_sent",J176=""),IF(F176="duplicate",AND(COUNTIFS($A$2:$A$201,G176,$B$2:$B$201,B176,$C$2:$C$201,C176,$F$2:$F$201,"include")=1,H176="no",I176="not_sent",K176="none",M176="no",N176="no",O176=0),AND(G176="",N176&lt;&gt;"unknown",COUNTIFS($B$2:$B$201,B176,$F$2:$F$201,"&lt;&gt;duplicate")=1)),IF(F176="include",AND(H176="yes",K176&lt;&gt;"conflict",K176&lt;&gt;"unknown",M176&lt;&gt;"unknown",IF(OR(K176="yes",K176="no"),AND(M176="yes",OR(L176="text",L176="emoji",L176="voice")),L176="none")),TRUE),IF(F176="late",AND(H176="no",I176="not_sent",K176="none",L176="none",O176=0),TRUE)),"OK","CHECK"),"CHECK"))</x:f>
      </x:c>
      <x:c r="R176" s="3"/>
    </x:row>
    <x:row r="177" ht="22" customHeight="1">
      <x:c r="A177" s="8"/>
      <x:c r="B177" s="8"/>
      <x:c r="C177" s="8"/>
      <x:c r="D177" s="8"/>
      <x:c r="E177" s="7"/>
      <x:c r="F177" s="7"/>
      <x:c r="G177" s="7"/>
      <x:c r="H177" s="7"/>
      <x:c r="I177" s="7"/>
      <x:c r="J177" s="8"/>
      <x:c r="K177" s="7"/>
      <x:c r="L177" s="7"/>
      <x:c r="M177" s="7"/>
      <x:c r="N177" s="7"/>
      <x:c r="O177" s="7"/>
      <x:c r="P177" s="7"/>
      <x:c r="Q177" s="3" t="str">
        <x:f>IF(COUNTA(A177:P177)=0,"",IFERROR(IF(AND(A177&lt;&gt;"",COUNTIF($A$2:$A$201,A177)=1,OR(LEFT(B177,2)="V-",LEFT(B177,4)="SYN-"),LEN(MID(B177,IF(LEFT(B177,2)="V-",3,5),30))&gt;0,ISNUMBER(VALUE(MID(B177,IF(LEFT(B177,2)="V-",3,5),30))),VALUE(MID(B177,IF(LEFT(B177,2)="V-",3,5),30))&gt;=0,MOD(VALUE(MID(B177,IF(LEFT(B177,2)="V-",3,5),30)),1)=0,COUNTIFS(Slots!$A$2:$A$31,"E1",Slots!$B$2:$B$31,C177)=1,ISNUMBER(SEARCH("|"&amp;D177&amp;"|","|"&amp;Settings!$B$9&amp;"|")),OR(E177="regular",E177="first"),OR(F177="include",F177="duplicate",F177="late"),OR(H177="yes",H177="no"),OR(I177="success",I177="failed",I177="unknown",I177="not_sent"),OR(K177="yes",K177="no",K177="none",K177="conflict",K177="unknown"),OR(L177="text",L177="emoji",L177="voice",L177="none",L177="unknown"),OR(M177="yes",M177="no",M177="unknown"),OR(N177="yes",N177="no",N177="unknown"),ISNUMBER(O177),OR(O177=0,O177=1),OR(P177="",P177="soft_yes",P177="forgot",P177="time_place",P177="clash",P177="travel",P177="personal",P177="unknown",P177="silent_but_came"),OR(I177&lt;&gt;"success",AND(J177&lt;&gt;"",COUNTIFS($J$2:$J$201,J177,$I$2:$I$201,"success")=1)),OR(I177&lt;&gt;"not_sent",J177=""),IF(F177="duplicate",AND(COUNTIFS($A$2:$A$201,G177,$B$2:$B$201,B177,$C$2:$C$201,C177,$F$2:$F$201,"include")=1,H177="no",I177="not_sent",K177="none",M177="no",N177="no",O177=0),AND(G177="",N177&lt;&gt;"unknown",COUNTIFS($B$2:$B$201,B177,$F$2:$F$201,"&lt;&gt;duplicate")=1)),IF(F177="include",AND(H177="yes",K177&lt;&gt;"conflict",K177&lt;&gt;"unknown",M177&lt;&gt;"unknown",IF(OR(K177="yes",K177="no"),AND(M177="yes",OR(L177="text",L177="emoji",L177="voice")),L177="none")),TRUE),IF(F177="late",AND(H177="no",I177="not_sent",K177="none",L177="none",O177=0),TRUE)),"OK","CHECK"),"CHECK"))</x:f>
      </x:c>
      <x:c r="R177" s="3"/>
    </x:row>
    <x:row r="178" ht="22" customHeight="1">
      <x:c r="A178" s="8"/>
      <x:c r="B178" s="8"/>
      <x:c r="C178" s="8"/>
      <x:c r="D178" s="8"/>
      <x:c r="E178" s="7"/>
      <x:c r="F178" s="7"/>
      <x:c r="G178" s="7"/>
      <x:c r="H178" s="7"/>
      <x:c r="I178" s="7"/>
      <x:c r="J178" s="8"/>
      <x:c r="K178" s="7"/>
      <x:c r="L178" s="7"/>
      <x:c r="M178" s="7"/>
      <x:c r="N178" s="7"/>
      <x:c r="O178" s="7"/>
      <x:c r="P178" s="7"/>
      <x:c r="Q178" s="3" t="str">
        <x:f>IF(COUNTA(A178:P178)=0,"",IFERROR(IF(AND(A178&lt;&gt;"",COUNTIF($A$2:$A$201,A178)=1,OR(LEFT(B178,2)="V-",LEFT(B178,4)="SYN-"),LEN(MID(B178,IF(LEFT(B178,2)="V-",3,5),30))&gt;0,ISNUMBER(VALUE(MID(B178,IF(LEFT(B178,2)="V-",3,5),30))),VALUE(MID(B178,IF(LEFT(B178,2)="V-",3,5),30))&gt;=0,MOD(VALUE(MID(B178,IF(LEFT(B178,2)="V-",3,5),30)),1)=0,COUNTIFS(Slots!$A$2:$A$31,"E1",Slots!$B$2:$B$31,C178)=1,ISNUMBER(SEARCH("|"&amp;D178&amp;"|","|"&amp;Settings!$B$9&amp;"|")),OR(E178="regular",E178="first"),OR(F178="include",F178="duplicate",F178="late"),OR(H178="yes",H178="no"),OR(I178="success",I178="failed",I178="unknown",I178="not_sent"),OR(K178="yes",K178="no",K178="none",K178="conflict",K178="unknown"),OR(L178="text",L178="emoji",L178="voice",L178="none",L178="unknown"),OR(M178="yes",M178="no",M178="unknown"),OR(N178="yes",N178="no",N178="unknown"),ISNUMBER(O178),OR(O178=0,O178=1),OR(P178="",P178="soft_yes",P178="forgot",P178="time_place",P178="clash",P178="travel",P178="personal",P178="unknown",P178="silent_but_came"),OR(I178&lt;&gt;"success",AND(J178&lt;&gt;"",COUNTIFS($J$2:$J$201,J178,$I$2:$I$201,"success")=1)),OR(I178&lt;&gt;"not_sent",J178=""),IF(F178="duplicate",AND(COUNTIFS($A$2:$A$201,G178,$B$2:$B$201,B178,$C$2:$C$201,C178,$F$2:$F$201,"include")=1,H178="no",I178="not_sent",K178="none",M178="no",N178="no",O178=0),AND(G178="",N178&lt;&gt;"unknown",COUNTIFS($B$2:$B$201,B178,$F$2:$F$201,"&lt;&gt;duplicate")=1)),IF(F178="include",AND(H178="yes",K178&lt;&gt;"conflict",K178&lt;&gt;"unknown",M178&lt;&gt;"unknown",IF(OR(K178="yes",K178="no"),AND(M178="yes",OR(L178="text",L178="emoji",L178="voice")),L178="none")),TRUE),IF(F178="late",AND(H178="no",I178="not_sent",K178="none",L178="none",O178=0),TRUE)),"OK","CHECK"),"CHECK"))</x:f>
      </x:c>
      <x:c r="R178" s="3"/>
    </x:row>
    <x:row r="179" ht="22" customHeight="1">
      <x:c r="A179" s="8"/>
      <x:c r="B179" s="8"/>
      <x:c r="C179" s="8"/>
      <x:c r="D179" s="8"/>
      <x:c r="E179" s="7"/>
      <x:c r="F179" s="7"/>
      <x:c r="G179" s="7"/>
      <x:c r="H179" s="7"/>
      <x:c r="I179" s="7"/>
      <x:c r="J179" s="8"/>
      <x:c r="K179" s="7"/>
      <x:c r="L179" s="7"/>
      <x:c r="M179" s="7"/>
      <x:c r="N179" s="7"/>
      <x:c r="O179" s="7"/>
      <x:c r="P179" s="7"/>
      <x:c r="Q179" s="3" t="str">
        <x:f>IF(COUNTA(A179:P179)=0,"",IFERROR(IF(AND(A179&lt;&gt;"",COUNTIF($A$2:$A$201,A179)=1,OR(LEFT(B179,2)="V-",LEFT(B179,4)="SYN-"),LEN(MID(B179,IF(LEFT(B179,2)="V-",3,5),30))&gt;0,ISNUMBER(VALUE(MID(B179,IF(LEFT(B179,2)="V-",3,5),30))),VALUE(MID(B179,IF(LEFT(B179,2)="V-",3,5),30))&gt;=0,MOD(VALUE(MID(B179,IF(LEFT(B179,2)="V-",3,5),30)),1)=0,COUNTIFS(Slots!$A$2:$A$31,"E1",Slots!$B$2:$B$31,C179)=1,ISNUMBER(SEARCH("|"&amp;D179&amp;"|","|"&amp;Settings!$B$9&amp;"|")),OR(E179="regular",E179="first"),OR(F179="include",F179="duplicate",F179="late"),OR(H179="yes",H179="no"),OR(I179="success",I179="failed",I179="unknown",I179="not_sent"),OR(K179="yes",K179="no",K179="none",K179="conflict",K179="unknown"),OR(L179="text",L179="emoji",L179="voice",L179="none",L179="unknown"),OR(M179="yes",M179="no",M179="unknown"),OR(N179="yes",N179="no",N179="unknown"),ISNUMBER(O179),OR(O179=0,O179=1),OR(P179="",P179="soft_yes",P179="forgot",P179="time_place",P179="clash",P179="travel",P179="personal",P179="unknown",P179="silent_but_came"),OR(I179&lt;&gt;"success",AND(J179&lt;&gt;"",COUNTIFS($J$2:$J$201,J179,$I$2:$I$201,"success")=1)),OR(I179&lt;&gt;"not_sent",J179=""),IF(F179="duplicate",AND(COUNTIFS($A$2:$A$201,G179,$B$2:$B$201,B179,$C$2:$C$201,C179,$F$2:$F$201,"include")=1,H179="no",I179="not_sent",K179="none",M179="no",N179="no",O179=0),AND(G179="",N179&lt;&gt;"unknown",COUNTIFS($B$2:$B$201,B179,$F$2:$F$201,"&lt;&gt;duplicate")=1)),IF(F179="include",AND(H179="yes",K179&lt;&gt;"conflict",K179&lt;&gt;"unknown",M179&lt;&gt;"unknown",IF(OR(K179="yes",K179="no"),AND(M179="yes",OR(L179="text",L179="emoji",L179="voice")),L179="none")),TRUE),IF(F179="late",AND(H179="no",I179="not_sent",K179="none",L179="none",O179=0),TRUE)),"OK","CHECK"),"CHECK"))</x:f>
      </x:c>
      <x:c r="R179" s="3"/>
    </x:row>
    <x:row r="180" ht="22" customHeight="1">
      <x:c r="A180" s="8"/>
      <x:c r="B180" s="8"/>
      <x:c r="C180" s="8"/>
      <x:c r="D180" s="8"/>
      <x:c r="E180" s="7"/>
      <x:c r="F180" s="7"/>
      <x:c r="G180" s="7"/>
      <x:c r="H180" s="7"/>
      <x:c r="I180" s="7"/>
      <x:c r="J180" s="8"/>
      <x:c r="K180" s="7"/>
      <x:c r="L180" s="7"/>
      <x:c r="M180" s="7"/>
      <x:c r="N180" s="7"/>
      <x:c r="O180" s="7"/>
      <x:c r="P180" s="7"/>
      <x:c r="Q180" s="3" t="str">
        <x:f>IF(COUNTA(A180:P180)=0,"",IFERROR(IF(AND(A180&lt;&gt;"",COUNTIF($A$2:$A$201,A180)=1,OR(LEFT(B180,2)="V-",LEFT(B180,4)="SYN-"),LEN(MID(B180,IF(LEFT(B180,2)="V-",3,5),30))&gt;0,ISNUMBER(VALUE(MID(B180,IF(LEFT(B180,2)="V-",3,5),30))),VALUE(MID(B180,IF(LEFT(B180,2)="V-",3,5),30))&gt;=0,MOD(VALUE(MID(B180,IF(LEFT(B180,2)="V-",3,5),30)),1)=0,COUNTIFS(Slots!$A$2:$A$31,"E1",Slots!$B$2:$B$31,C180)=1,ISNUMBER(SEARCH("|"&amp;D180&amp;"|","|"&amp;Settings!$B$9&amp;"|")),OR(E180="regular",E180="first"),OR(F180="include",F180="duplicate",F180="late"),OR(H180="yes",H180="no"),OR(I180="success",I180="failed",I180="unknown",I180="not_sent"),OR(K180="yes",K180="no",K180="none",K180="conflict",K180="unknown"),OR(L180="text",L180="emoji",L180="voice",L180="none",L180="unknown"),OR(M180="yes",M180="no",M180="unknown"),OR(N180="yes",N180="no",N180="unknown"),ISNUMBER(O180),OR(O180=0,O180=1),OR(P180="",P180="soft_yes",P180="forgot",P180="time_place",P180="clash",P180="travel",P180="personal",P180="unknown",P180="silent_but_came"),OR(I180&lt;&gt;"success",AND(J180&lt;&gt;"",COUNTIFS($J$2:$J$201,J180,$I$2:$I$201,"success")=1)),OR(I180&lt;&gt;"not_sent",J180=""),IF(F180="duplicate",AND(COUNTIFS($A$2:$A$201,G180,$B$2:$B$201,B180,$C$2:$C$201,C180,$F$2:$F$201,"include")=1,H180="no",I180="not_sent",K180="none",M180="no",N180="no",O180=0),AND(G180="",N180&lt;&gt;"unknown",COUNTIFS($B$2:$B$201,B180,$F$2:$F$201,"&lt;&gt;duplicate")=1)),IF(F180="include",AND(H180="yes",K180&lt;&gt;"conflict",K180&lt;&gt;"unknown",M180&lt;&gt;"unknown",IF(OR(K180="yes",K180="no"),AND(M180="yes",OR(L180="text",L180="emoji",L180="voice")),L180="none")),TRUE),IF(F180="late",AND(H180="no",I180="not_sent",K180="none",L180="none",O180=0),TRUE)),"OK","CHECK"),"CHECK"))</x:f>
      </x:c>
      <x:c r="R180" s="3"/>
    </x:row>
    <x:row r="181" ht="22" customHeight="1">
      <x:c r="A181" s="8"/>
      <x:c r="B181" s="8"/>
      <x:c r="C181" s="8"/>
      <x:c r="D181" s="8"/>
      <x:c r="E181" s="7"/>
      <x:c r="F181" s="7"/>
      <x:c r="G181" s="7"/>
      <x:c r="H181" s="7"/>
      <x:c r="I181" s="7"/>
      <x:c r="J181" s="8"/>
      <x:c r="K181" s="7"/>
      <x:c r="L181" s="7"/>
      <x:c r="M181" s="7"/>
      <x:c r="N181" s="7"/>
      <x:c r="O181" s="7"/>
      <x:c r="P181" s="7"/>
      <x:c r="Q181" s="3" t="str">
        <x:f>IF(COUNTA(A181:P181)=0,"",IFERROR(IF(AND(A181&lt;&gt;"",COUNTIF($A$2:$A$201,A181)=1,OR(LEFT(B181,2)="V-",LEFT(B181,4)="SYN-"),LEN(MID(B181,IF(LEFT(B181,2)="V-",3,5),30))&gt;0,ISNUMBER(VALUE(MID(B181,IF(LEFT(B181,2)="V-",3,5),30))),VALUE(MID(B181,IF(LEFT(B181,2)="V-",3,5),30))&gt;=0,MOD(VALUE(MID(B181,IF(LEFT(B181,2)="V-",3,5),30)),1)=0,COUNTIFS(Slots!$A$2:$A$31,"E1",Slots!$B$2:$B$31,C181)=1,ISNUMBER(SEARCH("|"&amp;D181&amp;"|","|"&amp;Settings!$B$9&amp;"|")),OR(E181="regular",E181="first"),OR(F181="include",F181="duplicate",F181="late"),OR(H181="yes",H181="no"),OR(I181="success",I181="failed",I181="unknown",I181="not_sent"),OR(K181="yes",K181="no",K181="none",K181="conflict",K181="unknown"),OR(L181="text",L181="emoji",L181="voice",L181="none",L181="unknown"),OR(M181="yes",M181="no",M181="unknown"),OR(N181="yes",N181="no",N181="unknown"),ISNUMBER(O181),OR(O181=0,O181=1),OR(P181="",P181="soft_yes",P181="forgot",P181="time_place",P181="clash",P181="travel",P181="personal",P181="unknown",P181="silent_but_came"),OR(I181&lt;&gt;"success",AND(J181&lt;&gt;"",COUNTIFS($J$2:$J$201,J181,$I$2:$I$201,"success")=1)),OR(I181&lt;&gt;"not_sent",J181=""),IF(F181="duplicate",AND(COUNTIFS($A$2:$A$201,G181,$B$2:$B$201,B181,$C$2:$C$201,C181,$F$2:$F$201,"include")=1,H181="no",I181="not_sent",K181="none",M181="no",N181="no",O181=0),AND(G181="",N181&lt;&gt;"unknown",COUNTIFS($B$2:$B$201,B181,$F$2:$F$201,"&lt;&gt;duplicate")=1)),IF(F181="include",AND(H181="yes",K181&lt;&gt;"conflict",K181&lt;&gt;"unknown",M181&lt;&gt;"unknown",IF(OR(K181="yes",K181="no"),AND(M181="yes",OR(L181="text",L181="emoji",L181="voice")),L181="none")),TRUE),IF(F181="late",AND(H181="no",I181="not_sent",K181="none",L181="none",O181=0),TRUE)),"OK","CHECK"),"CHECK"))</x:f>
      </x:c>
      <x:c r="R181" s="3"/>
    </x:row>
    <x:row r="182" ht="22" customHeight="1">
      <x:c r="A182" s="8"/>
      <x:c r="B182" s="8"/>
      <x:c r="C182" s="8"/>
      <x:c r="D182" s="8"/>
      <x:c r="E182" s="7"/>
      <x:c r="F182" s="7"/>
      <x:c r="G182" s="7"/>
      <x:c r="H182" s="7"/>
      <x:c r="I182" s="7"/>
      <x:c r="J182" s="8"/>
      <x:c r="K182" s="7"/>
      <x:c r="L182" s="7"/>
      <x:c r="M182" s="7"/>
      <x:c r="N182" s="7"/>
      <x:c r="O182" s="7"/>
      <x:c r="P182" s="7"/>
      <x:c r="Q182" s="3" t="str">
        <x:f>IF(COUNTA(A182:P182)=0,"",IFERROR(IF(AND(A182&lt;&gt;"",COUNTIF($A$2:$A$201,A182)=1,OR(LEFT(B182,2)="V-",LEFT(B182,4)="SYN-"),LEN(MID(B182,IF(LEFT(B182,2)="V-",3,5),30))&gt;0,ISNUMBER(VALUE(MID(B182,IF(LEFT(B182,2)="V-",3,5),30))),VALUE(MID(B182,IF(LEFT(B182,2)="V-",3,5),30))&gt;=0,MOD(VALUE(MID(B182,IF(LEFT(B182,2)="V-",3,5),30)),1)=0,COUNTIFS(Slots!$A$2:$A$31,"E1",Slots!$B$2:$B$31,C182)=1,ISNUMBER(SEARCH("|"&amp;D182&amp;"|","|"&amp;Settings!$B$9&amp;"|")),OR(E182="regular",E182="first"),OR(F182="include",F182="duplicate",F182="late"),OR(H182="yes",H182="no"),OR(I182="success",I182="failed",I182="unknown",I182="not_sent"),OR(K182="yes",K182="no",K182="none",K182="conflict",K182="unknown"),OR(L182="text",L182="emoji",L182="voice",L182="none",L182="unknown"),OR(M182="yes",M182="no",M182="unknown"),OR(N182="yes",N182="no",N182="unknown"),ISNUMBER(O182),OR(O182=0,O182=1),OR(P182="",P182="soft_yes",P182="forgot",P182="time_place",P182="clash",P182="travel",P182="personal",P182="unknown",P182="silent_but_came"),OR(I182&lt;&gt;"success",AND(J182&lt;&gt;"",COUNTIFS($J$2:$J$201,J182,$I$2:$I$201,"success")=1)),OR(I182&lt;&gt;"not_sent",J182=""),IF(F182="duplicate",AND(COUNTIFS($A$2:$A$201,G182,$B$2:$B$201,B182,$C$2:$C$201,C182,$F$2:$F$201,"include")=1,H182="no",I182="not_sent",K182="none",M182="no",N182="no",O182=0),AND(G182="",N182&lt;&gt;"unknown",COUNTIFS($B$2:$B$201,B182,$F$2:$F$201,"&lt;&gt;duplicate")=1)),IF(F182="include",AND(H182="yes",K182&lt;&gt;"conflict",K182&lt;&gt;"unknown",M182&lt;&gt;"unknown",IF(OR(K182="yes",K182="no"),AND(M182="yes",OR(L182="text",L182="emoji",L182="voice")),L182="none")),TRUE),IF(F182="late",AND(H182="no",I182="not_sent",K182="none",L182="none",O182=0),TRUE)),"OK","CHECK"),"CHECK"))</x:f>
      </x:c>
      <x:c r="R182" s="3"/>
    </x:row>
    <x:row r="183" ht="22" customHeight="1">
      <x:c r="A183" s="8"/>
      <x:c r="B183" s="8"/>
      <x:c r="C183" s="8"/>
      <x:c r="D183" s="8"/>
      <x:c r="E183" s="7"/>
      <x:c r="F183" s="7"/>
      <x:c r="G183" s="7"/>
      <x:c r="H183" s="7"/>
      <x:c r="I183" s="7"/>
      <x:c r="J183" s="8"/>
      <x:c r="K183" s="7"/>
      <x:c r="L183" s="7"/>
      <x:c r="M183" s="7"/>
      <x:c r="N183" s="7"/>
      <x:c r="O183" s="7"/>
      <x:c r="P183" s="7"/>
      <x:c r="Q183" s="3" t="str">
        <x:f>IF(COUNTA(A183:P183)=0,"",IFERROR(IF(AND(A183&lt;&gt;"",COUNTIF($A$2:$A$201,A183)=1,OR(LEFT(B183,2)="V-",LEFT(B183,4)="SYN-"),LEN(MID(B183,IF(LEFT(B183,2)="V-",3,5),30))&gt;0,ISNUMBER(VALUE(MID(B183,IF(LEFT(B183,2)="V-",3,5),30))),VALUE(MID(B183,IF(LEFT(B183,2)="V-",3,5),30))&gt;=0,MOD(VALUE(MID(B183,IF(LEFT(B183,2)="V-",3,5),30)),1)=0,COUNTIFS(Slots!$A$2:$A$31,"E1",Slots!$B$2:$B$31,C183)=1,ISNUMBER(SEARCH("|"&amp;D183&amp;"|","|"&amp;Settings!$B$9&amp;"|")),OR(E183="regular",E183="first"),OR(F183="include",F183="duplicate",F183="late"),OR(H183="yes",H183="no"),OR(I183="success",I183="failed",I183="unknown",I183="not_sent"),OR(K183="yes",K183="no",K183="none",K183="conflict",K183="unknown"),OR(L183="text",L183="emoji",L183="voice",L183="none",L183="unknown"),OR(M183="yes",M183="no",M183="unknown"),OR(N183="yes",N183="no",N183="unknown"),ISNUMBER(O183),OR(O183=0,O183=1),OR(P183="",P183="soft_yes",P183="forgot",P183="time_place",P183="clash",P183="travel",P183="personal",P183="unknown",P183="silent_but_came"),OR(I183&lt;&gt;"success",AND(J183&lt;&gt;"",COUNTIFS($J$2:$J$201,J183,$I$2:$I$201,"success")=1)),OR(I183&lt;&gt;"not_sent",J183=""),IF(F183="duplicate",AND(COUNTIFS($A$2:$A$201,G183,$B$2:$B$201,B183,$C$2:$C$201,C183,$F$2:$F$201,"include")=1,H183="no",I183="not_sent",K183="none",M183="no",N183="no",O183=0),AND(G183="",N183&lt;&gt;"unknown",COUNTIFS($B$2:$B$201,B183,$F$2:$F$201,"&lt;&gt;duplicate")=1)),IF(F183="include",AND(H183="yes",K183&lt;&gt;"conflict",K183&lt;&gt;"unknown",M183&lt;&gt;"unknown",IF(OR(K183="yes",K183="no"),AND(M183="yes",OR(L183="text",L183="emoji",L183="voice")),L183="none")),TRUE),IF(F183="late",AND(H183="no",I183="not_sent",K183="none",L183="none",O183=0),TRUE)),"OK","CHECK"),"CHECK"))</x:f>
      </x:c>
      <x:c r="R183" s="3"/>
    </x:row>
    <x:row r="184" ht="22" customHeight="1">
      <x:c r="A184" s="8"/>
      <x:c r="B184" s="8"/>
      <x:c r="C184" s="8"/>
      <x:c r="D184" s="8"/>
      <x:c r="E184" s="7"/>
      <x:c r="F184" s="7"/>
      <x:c r="G184" s="7"/>
      <x:c r="H184" s="7"/>
      <x:c r="I184" s="7"/>
      <x:c r="J184" s="8"/>
      <x:c r="K184" s="7"/>
      <x:c r="L184" s="7"/>
      <x:c r="M184" s="7"/>
      <x:c r="N184" s="7"/>
      <x:c r="O184" s="7"/>
      <x:c r="P184" s="7"/>
      <x:c r="Q184" s="3" t="str">
        <x:f>IF(COUNTA(A184:P184)=0,"",IFERROR(IF(AND(A184&lt;&gt;"",COUNTIF($A$2:$A$201,A184)=1,OR(LEFT(B184,2)="V-",LEFT(B184,4)="SYN-"),LEN(MID(B184,IF(LEFT(B184,2)="V-",3,5),30))&gt;0,ISNUMBER(VALUE(MID(B184,IF(LEFT(B184,2)="V-",3,5),30))),VALUE(MID(B184,IF(LEFT(B184,2)="V-",3,5),30))&gt;=0,MOD(VALUE(MID(B184,IF(LEFT(B184,2)="V-",3,5),30)),1)=0,COUNTIFS(Slots!$A$2:$A$31,"E1",Slots!$B$2:$B$31,C184)=1,ISNUMBER(SEARCH("|"&amp;D184&amp;"|","|"&amp;Settings!$B$9&amp;"|")),OR(E184="regular",E184="first"),OR(F184="include",F184="duplicate",F184="late"),OR(H184="yes",H184="no"),OR(I184="success",I184="failed",I184="unknown",I184="not_sent"),OR(K184="yes",K184="no",K184="none",K184="conflict",K184="unknown"),OR(L184="text",L184="emoji",L184="voice",L184="none",L184="unknown"),OR(M184="yes",M184="no",M184="unknown"),OR(N184="yes",N184="no",N184="unknown"),ISNUMBER(O184),OR(O184=0,O184=1),OR(P184="",P184="soft_yes",P184="forgot",P184="time_place",P184="clash",P184="travel",P184="personal",P184="unknown",P184="silent_but_came"),OR(I184&lt;&gt;"success",AND(J184&lt;&gt;"",COUNTIFS($J$2:$J$201,J184,$I$2:$I$201,"success")=1)),OR(I184&lt;&gt;"not_sent",J184=""),IF(F184="duplicate",AND(COUNTIFS($A$2:$A$201,G184,$B$2:$B$201,B184,$C$2:$C$201,C184,$F$2:$F$201,"include")=1,H184="no",I184="not_sent",K184="none",M184="no",N184="no",O184=0),AND(G184="",N184&lt;&gt;"unknown",COUNTIFS($B$2:$B$201,B184,$F$2:$F$201,"&lt;&gt;duplicate")=1)),IF(F184="include",AND(H184="yes",K184&lt;&gt;"conflict",K184&lt;&gt;"unknown",M184&lt;&gt;"unknown",IF(OR(K184="yes",K184="no"),AND(M184="yes",OR(L184="text",L184="emoji",L184="voice")),L184="none")),TRUE),IF(F184="late",AND(H184="no",I184="not_sent",K184="none",L184="none",O184=0),TRUE)),"OK","CHECK"),"CHECK"))</x:f>
      </x:c>
      <x:c r="R184" s="3"/>
    </x:row>
    <x:row r="185" ht="22" customHeight="1">
      <x:c r="A185" s="8"/>
      <x:c r="B185" s="8"/>
      <x:c r="C185" s="8"/>
      <x:c r="D185" s="8"/>
      <x:c r="E185" s="7"/>
      <x:c r="F185" s="7"/>
      <x:c r="G185" s="7"/>
      <x:c r="H185" s="7"/>
      <x:c r="I185" s="7"/>
      <x:c r="J185" s="8"/>
      <x:c r="K185" s="7"/>
      <x:c r="L185" s="7"/>
      <x:c r="M185" s="7"/>
      <x:c r="N185" s="7"/>
      <x:c r="O185" s="7"/>
      <x:c r="P185" s="7"/>
      <x:c r="Q185" s="3" t="str">
        <x:f>IF(COUNTA(A185:P185)=0,"",IFERROR(IF(AND(A185&lt;&gt;"",COUNTIF($A$2:$A$201,A185)=1,OR(LEFT(B185,2)="V-",LEFT(B185,4)="SYN-"),LEN(MID(B185,IF(LEFT(B185,2)="V-",3,5),30))&gt;0,ISNUMBER(VALUE(MID(B185,IF(LEFT(B185,2)="V-",3,5),30))),VALUE(MID(B185,IF(LEFT(B185,2)="V-",3,5),30))&gt;=0,MOD(VALUE(MID(B185,IF(LEFT(B185,2)="V-",3,5),30)),1)=0,COUNTIFS(Slots!$A$2:$A$31,"E1",Slots!$B$2:$B$31,C185)=1,ISNUMBER(SEARCH("|"&amp;D185&amp;"|","|"&amp;Settings!$B$9&amp;"|")),OR(E185="regular",E185="first"),OR(F185="include",F185="duplicate",F185="late"),OR(H185="yes",H185="no"),OR(I185="success",I185="failed",I185="unknown",I185="not_sent"),OR(K185="yes",K185="no",K185="none",K185="conflict",K185="unknown"),OR(L185="text",L185="emoji",L185="voice",L185="none",L185="unknown"),OR(M185="yes",M185="no",M185="unknown"),OR(N185="yes",N185="no",N185="unknown"),ISNUMBER(O185),OR(O185=0,O185=1),OR(P185="",P185="soft_yes",P185="forgot",P185="time_place",P185="clash",P185="travel",P185="personal",P185="unknown",P185="silent_but_came"),OR(I185&lt;&gt;"success",AND(J185&lt;&gt;"",COUNTIFS($J$2:$J$201,J185,$I$2:$I$201,"success")=1)),OR(I185&lt;&gt;"not_sent",J185=""),IF(F185="duplicate",AND(COUNTIFS($A$2:$A$201,G185,$B$2:$B$201,B185,$C$2:$C$201,C185,$F$2:$F$201,"include")=1,H185="no",I185="not_sent",K185="none",M185="no",N185="no",O185=0),AND(G185="",N185&lt;&gt;"unknown",COUNTIFS($B$2:$B$201,B185,$F$2:$F$201,"&lt;&gt;duplicate")=1)),IF(F185="include",AND(H185="yes",K185&lt;&gt;"conflict",K185&lt;&gt;"unknown",M185&lt;&gt;"unknown",IF(OR(K185="yes",K185="no"),AND(M185="yes",OR(L185="text",L185="emoji",L185="voice")),L185="none")),TRUE),IF(F185="late",AND(H185="no",I185="not_sent",K185="none",L185="none",O185=0),TRUE)),"OK","CHECK"),"CHECK"))</x:f>
      </x:c>
      <x:c r="R185" s="3"/>
    </x:row>
    <x:row r="186" ht="22" customHeight="1">
      <x:c r="A186" s="8"/>
      <x:c r="B186" s="8"/>
      <x:c r="C186" s="8"/>
      <x:c r="D186" s="8"/>
      <x:c r="E186" s="7"/>
      <x:c r="F186" s="7"/>
      <x:c r="G186" s="7"/>
      <x:c r="H186" s="7"/>
      <x:c r="I186" s="7"/>
      <x:c r="J186" s="8"/>
      <x:c r="K186" s="7"/>
      <x:c r="L186" s="7"/>
      <x:c r="M186" s="7"/>
      <x:c r="N186" s="7"/>
      <x:c r="O186" s="7"/>
      <x:c r="P186" s="7"/>
      <x:c r="Q186" s="3" t="str">
        <x:f>IF(COUNTA(A186:P186)=0,"",IFERROR(IF(AND(A186&lt;&gt;"",COUNTIF($A$2:$A$201,A186)=1,OR(LEFT(B186,2)="V-",LEFT(B186,4)="SYN-"),LEN(MID(B186,IF(LEFT(B186,2)="V-",3,5),30))&gt;0,ISNUMBER(VALUE(MID(B186,IF(LEFT(B186,2)="V-",3,5),30))),VALUE(MID(B186,IF(LEFT(B186,2)="V-",3,5),30))&gt;=0,MOD(VALUE(MID(B186,IF(LEFT(B186,2)="V-",3,5),30)),1)=0,COUNTIFS(Slots!$A$2:$A$31,"E1",Slots!$B$2:$B$31,C186)=1,ISNUMBER(SEARCH("|"&amp;D186&amp;"|","|"&amp;Settings!$B$9&amp;"|")),OR(E186="regular",E186="first"),OR(F186="include",F186="duplicate",F186="late"),OR(H186="yes",H186="no"),OR(I186="success",I186="failed",I186="unknown",I186="not_sent"),OR(K186="yes",K186="no",K186="none",K186="conflict",K186="unknown"),OR(L186="text",L186="emoji",L186="voice",L186="none",L186="unknown"),OR(M186="yes",M186="no",M186="unknown"),OR(N186="yes",N186="no",N186="unknown"),ISNUMBER(O186),OR(O186=0,O186=1),OR(P186="",P186="soft_yes",P186="forgot",P186="time_place",P186="clash",P186="travel",P186="personal",P186="unknown",P186="silent_but_came"),OR(I186&lt;&gt;"success",AND(J186&lt;&gt;"",COUNTIFS($J$2:$J$201,J186,$I$2:$I$201,"success")=1)),OR(I186&lt;&gt;"not_sent",J186=""),IF(F186="duplicate",AND(COUNTIFS($A$2:$A$201,G186,$B$2:$B$201,B186,$C$2:$C$201,C186,$F$2:$F$201,"include")=1,H186="no",I186="not_sent",K186="none",M186="no",N186="no",O186=0),AND(G186="",N186&lt;&gt;"unknown",COUNTIFS($B$2:$B$201,B186,$F$2:$F$201,"&lt;&gt;duplicate")=1)),IF(F186="include",AND(H186="yes",K186&lt;&gt;"conflict",K186&lt;&gt;"unknown",M186&lt;&gt;"unknown",IF(OR(K186="yes",K186="no"),AND(M186="yes",OR(L186="text",L186="emoji",L186="voice")),L186="none")),TRUE),IF(F186="late",AND(H186="no",I186="not_sent",K186="none",L186="none",O186=0),TRUE)),"OK","CHECK"),"CHECK"))</x:f>
      </x:c>
      <x:c r="R186" s="3"/>
    </x:row>
    <x:row r="187" ht="22" customHeight="1">
      <x:c r="A187" s="8"/>
      <x:c r="B187" s="8"/>
      <x:c r="C187" s="8"/>
      <x:c r="D187" s="8"/>
      <x:c r="E187" s="7"/>
      <x:c r="F187" s="7"/>
      <x:c r="G187" s="7"/>
      <x:c r="H187" s="7"/>
      <x:c r="I187" s="7"/>
      <x:c r="J187" s="8"/>
      <x:c r="K187" s="7"/>
      <x:c r="L187" s="7"/>
      <x:c r="M187" s="7"/>
      <x:c r="N187" s="7"/>
      <x:c r="O187" s="7"/>
      <x:c r="P187" s="7"/>
      <x:c r="Q187" s="3" t="str">
        <x:f>IF(COUNTA(A187:P187)=0,"",IFERROR(IF(AND(A187&lt;&gt;"",COUNTIF($A$2:$A$201,A187)=1,OR(LEFT(B187,2)="V-",LEFT(B187,4)="SYN-"),LEN(MID(B187,IF(LEFT(B187,2)="V-",3,5),30))&gt;0,ISNUMBER(VALUE(MID(B187,IF(LEFT(B187,2)="V-",3,5),30))),VALUE(MID(B187,IF(LEFT(B187,2)="V-",3,5),30))&gt;=0,MOD(VALUE(MID(B187,IF(LEFT(B187,2)="V-",3,5),30)),1)=0,COUNTIFS(Slots!$A$2:$A$31,"E1",Slots!$B$2:$B$31,C187)=1,ISNUMBER(SEARCH("|"&amp;D187&amp;"|","|"&amp;Settings!$B$9&amp;"|")),OR(E187="regular",E187="first"),OR(F187="include",F187="duplicate",F187="late"),OR(H187="yes",H187="no"),OR(I187="success",I187="failed",I187="unknown",I187="not_sent"),OR(K187="yes",K187="no",K187="none",K187="conflict",K187="unknown"),OR(L187="text",L187="emoji",L187="voice",L187="none",L187="unknown"),OR(M187="yes",M187="no",M187="unknown"),OR(N187="yes",N187="no",N187="unknown"),ISNUMBER(O187),OR(O187=0,O187=1),OR(P187="",P187="soft_yes",P187="forgot",P187="time_place",P187="clash",P187="travel",P187="personal",P187="unknown",P187="silent_but_came"),OR(I187&lt;&gt;"success",AND(J187&lt;&gt;"",COUNTIFS($J$2:$J$201,J187,$I$2:$I$201,"success")=1)),OR(I187&lt;&gt;"not_sent",J187=""),IF(F187="duplicate",AND(COUNTIFS($A$2:$A$201,G187,$B$2:$B$201,B187,$C$2:$C$201,C187,$F$2:$F$201,"include")=1,H187="no",I187="not_sent",K187="none",M187="no",N187="no",O187=0),AND(G187="",N187&lt;&gt;"unknown",COUNTIFS($B$2:$B$201,B187,$F$2:$F$201,"&lt;&gt;duplicate")=1)),IF(F187="include",AND(H187="yes",K187&lt;&gt;"conflict",K187&lt;&gt;"unknown",M187&lt;&gt;"unknown",IF(OR(K187="yes",K187="no"),AND(M187="yes",OR(L187="text",L187="emoji",L187="voice")),L187="none")),TRUE),IF(F187="late",AND(H187="no",I187="not_sent",K187="none",L187="none",O187=0),TRUE)),"OK","CHECK"),"CHECK"))</x:f>
      </x:c>
      <x:c r="R187" s="3"/>
    </x:row>
    <x:row r="188" ht="22" customHeight="1">
      <x:c r="A188" s="8"/>
      <x:c r="B188" s="8"/>
      <x:c r="C188" s="8"/>
      <x:c r="D188" s="8"/>
      <x:c r="E188" s="7"/>
      <x:c r="F188" s="7"/>
      <x:c r="G188" s="7"/>
      <x:c r="H188" s="7"/>
      <x:c r="I188" s="7"/>
      <x:c r="J188" s="8"/>
      <x:c r="K188" s="7"/>
      <x:c r="L188" s="7"/>
      <x:c r="M188" s="7"/>
      <x:c r="N188" s="7"/>
      <x:c r="O188" s="7"/>
      <x:c r="P188" s="7"/>
      <x:c r="Q188" s="3" t="str">
        <x:f>IF(COUNTA(A188:P188)=0,"",IFERROR(IF(AND(A188&lt;&gt;"",COUNTIF($A$2:$A$201,A188)=1,OR(LEFT(B188,2)="V-",LEFT(B188,4)="SYN-"),LEN(MID(B188,IF(LEFT(B188,2)="V-",3,5),30))&gt;0,ISNUMBER(VALUE(MID(B188,IF(LEFT(B188,2)="V-",3,5),30))),VALUE(MID(B188,IF(LEFT(B188,2)="V-",3,5),30))&gt;=0,MOD(VALUE(MID(B188,IF(LEFT(B188,2)="V-",3,5),30)),1)=0,COUNTIFS(Slots!$A$2:$A$31,"E1",Slots!$B$2:$B$31,C188)=1,ISNUMBER(SEARCH("|"&amp;D188&amp;"|","|"&amp;Settings!$B$9&amp;"|")),OR(E188="regular",E188="first"),OR(F188="include",F188="duplicate",F188="late"),OR(H188="yes",H188="no"),OR(I188="success",I188="failed",I188="unknown",I188="not_sent"),OR(K188="yes",K188="no",K188="none",K188="conflict",K188="unknown"),OR(L188="text",L188="emoji",L188="voice",L188="none",L188="unknown"),OR(M188="yes",M188="no",M188="unknown"),OR(N188="yes",N188="no",N188="unknown"),ISNUMBER(O188),OR(O188=0,O188=1),OR(P188="",P188="soft_yes",P188="forgot",P188="time_place",P188="clash",P188="travel",P188="personal",P188="unknown",P188="silent_but_came"),OR(I188&lt;&gt;"success",AND(J188&lt;&gt;"",COUNTIFS($J$2:$J$201,J188,$I$2:$I$201,"success")=1)),OR(I188&lt;&gt;"not_sent",J188=""),IF(F188="duplicate",AND(COUNTIFS($A$2:$A$201,G188,$B$2:$B$201,B188,$C$2:$C$201,C188,$F$2:$F$201,"include")=1,H188="no",I188="not_sent",K188="none",M188="no",N188="no",O188=0),AND(G188="",N188&lt;&gt;"unknown",COUNTIFS($B$2:$B$201,B188,$F$2:$F$201,"&lt;&gt;duplicate")=1)),IF(F188="include",AND(H188="yes",K188&lt;&gt;"conflict",K188&lt;&gt;"unknown",M188&lt;&gt;"unknown",IF(OR(K188="yes",K188="no"),AND(M188="yes",OR(L188="text",L188="emoji",L188="voice")),L188="none")),TRUE),IF(F188="late",AND(H188="no",I188="not_sent",K188="none",L188="none",O188=0),TRUE)),"OK","CHECK"),"CHECK"))</x:f>
      </x:c>
      <x:c r="R188" s="3"/>
    </x:row>
    <x:row r="189" ht="22" customHeight="1">
      <x:c r="A189" s="8"/>
      <x:c r="B189" s="8"/>
      <x:c r="C189" s="8"/>
      <x:c r="D189" s="8"/>
      <x:c r="E189" s="7"/>
      <x:c r="F189" s="7"/>
      <x:c r="G189" s="7"/>
      <x:c r="H189" s="7"/>
      <x:c r="I189" s="7"/>
      <x:c r="J189" s="8"/>
      <x:c r="K189" s="7"/>
      <x:c r="L189" s="7"/>
      <x:c r="M189" s="7"/>
      <x:c r="N189" s="7"/>
      <x:c r="O189" s="7"/>
      <x:c r="P189" s="7"/>
      <x:c r="Q189" s="3" t="str">
        <x:f>IF(COUNTA(A189:P189)=0,"",IFERROR(IF(AND(A189&lt;&gt;"",COUNTIF($A$2:$A$201,A189)=1,OR(LEFT(B189,2)="V-",LEFT(B189,4)="SYN-"),LEN(MID(B189,IF(LEFT(B189,2)="V-",3,5),30))&gt;0,ISNUMBER(VALUE(MID(B189,IF(LEFT(B189,2)="V-",3,5),30))),VALUE(MID(B189,IF(LEFT(B189,2)="V-",3,5),30))&gt;=0,MOD(VALUE(MID(B189,IF(LEFT(B189,2)="V-",3,5),30)),1)=0,COUNTIFS(Slots!$A$2:$A$31,"E1",Slots!$B$2:$B$31,C189)=1,ISNUMBER(SEARCH("|"&amp;D189&amp;"|","|"&amp;Settings!$B$9&amp;"|")),OR(E189="regular",E189="first"),OR(F189="include",F189="duplicate",F189="late"),OR(H189="yes",H189="no"),OR(I189="success",I189="failed",I189="unknown",I189="not_sent"),OR(K189="yes",K189="no",K189="none",K189="conflict",K189="unknown"),OR(L189="text",L189="emoji",L189="voice",L189="none",L189="unknown"),OR(M189="yes",M189="no",M189="unknown"),OR(N189="yes",N189="no",N189="unknown"),ISNUMBER(O189),OR(O189=0,O189=1),OR(P189="",P189="soft_yes",P189="forgot",P189="time_place",P189="clash",P189="travel",P189="personal",P189="unknown",P189="silent_but_came"),OR(I189&lt;&gt;"success",AND(J189&lt;&gt;"",COUNTIFS($J$2:$J$201,J189,$I$2:$I$201,"success")=1)),OR(I189&lt;&gt;"not_sent",J189=""),IF(F189="duplicate",AND(COUNTIFS($A$2:$A$201,G189,$B$2:$B$201,B189,$C$2:$C$201,C189,$F$2:$F$201,"include")=1,H189="no",I189="not_sent",K189="none",M189="no",N189="no",O189=0),AND(G189="",N189&lt;&gt;"unknown",COUNTIFS($B$2:$B$201,B189,$F$2:$F$201,"&lt;&gt;duplicate")=1)),IF(F189="include",AND(H189="yes",K189&lt;&gt;"conflict",K189&lt;&gt;"unknown",M189&lt;&gt;"unknown",IF(OR(K189="yes",K189="no"),AND(M189="yes",OR(L189="text",L189="emoji",L189="voice")),L189="none")),TRUE),IF(F189="late",AND(H189="no",I189="not_sent",K189="none",L189="none",O189=0),TRUE)),"OK","CHECK"),"CHECK"))</x:f>
      </x:c>
      <x:c r="R189" s="3"/>
    </x:row>
    <x:row r="190" ht="22" customHeight="1">
      <x:c r="A190" s="8"/>
      <x:c r="B190" s="8"/>
      <x:c r="C190" s="8"/>
      <x:c r="D190" s="8"/>
      <x:c r="E190" s="7"/>
      <x:c r="F190" s="7"/>
      <x:c r="G190" s="7"/>
      <x:c r="H190" s="7"/>
      <x:c r="I190" s="7"/>
      <x:c r="J190" s="8"/>
      <x:c r="K190" s="7"/>
      <x:c r="L190" s="7"/>
      <x:c r="M190" s="7"/>
      <x:c r="N190" s="7"/>
      <x:c r="O190" s="7"/>
      <x:c r="P190" s="7"/>
      <x:c r="Q190" s="3" t="str">
        <x:f>IF(COUNTA(A190:P190)=0,"",IFERROR(IF(AND(A190&lt;&gt;"",COUNTIF($A$2:$A$201,A190)=1,OR(LEFT(B190,2)="V-",LEFT(B190,4)="SYN-"),LEN(MID(B190,IF(LEFT(B190,2)="V-",3,5),30))&gt;0,ISNUMBER(VALUE(MID(B190,IF(LEFT(B190,2)="V-",3,5),30))),VALUE(MID(B190,IF(LEFT(B190,2)="V-",3,5),30))&gt;=0,MOD(VALUE(MID(B190,IF(LEFT(B190,2)="V-",3,5),30)),1)=0,COUNTIFS(Slots!$A$2:$A$31,"E1",Slots!$B$2:$B$31,C190)=1,ISNUMBER(SEARCH("|"&amp;D190&amp;"|","|"&amp;Settings!$B$9&amp;"|")),OR(E190="regular",E190="first"),OR(F190="include",F190="duplicate",F190="late"),OR(H190="yes",H190="no"),OR(I190="success",I190="failed",I190="unknown",I190="not_sent"),OR(K190="yes",K190="no",K190="none",K190="conflict",K190="unknown"),OR(L190="text",L190="emoji",L190="voice",L190="none",L190="unknown"),OR(M190="yes",M190="no",M190="unknown"),OR(N190="yes",N190="no",N190="unknown"),ISNUMBER(O190),OR(O190=0,O190=1),OR(P190="",P190="soft_yes",P190="forgot",P190="time_place",P190="clash",P190="travel",P190="personal",P190="unknown",P190="silent_but_came"),OR(I190&lt;&gt;"success",AND(J190&lt;&gt;"",COUNTIFS($J$2:$J$201,J190,$I$2:$I$201,"success")=1)),OR(I190&lt;&gt;"not_sent",J190=""),IF(F190="duplicate",AND(COUNTIFS($A$2:$A$201,G190,$B$2:$B$201,B190,$C$2:$C$201,C190,$F$2:$F$201,"include")=1,H190="no",I190="not_sent",K190="none",M190="no",N190="no",O190=0),AND(G190="",N190&lt;&gt;"unknown",COUNTIFS($B$2:$B$201,B190,$F$2:$F$201,"&lt;&gt;duplicate")=1)),IF(F190="include",AND(H190="yes",K190&lt;&gt;"conflict",K190&lt;&gt;"unknown",M190&lt;&gt;"unknown",IF(OR(K190="yes",K190="no"),AND(M190="yes",OR(L190="text",L190="emoji",L190="voice")),L190="none")),TRUE),IF(F190="late",AND(H190="no",I190="not_sent",K190="none",L190="none",O190=0),TRUE)),"OK","CHECK"),"CHECK"))</x:f>
      </x:c>
      <x:c r="R190" s="3"/>
    </x:row>
    <x:row r="191" ht="22" customHeight="1">
      <x:c r="A191" s="8"/>
      <x:c r="B191" s="8"/>
      <x:c r="C191" s="8"/>
      <x:c r="D191" s="8"/>
      <x:c r="E191" s="7"/>
      <x:c r="F191" s="7"/>
      <x:c r="G191" s="7"/>
      <x:c r="H191" s="7"/>
      <x:c r="I191" s="7"/>
      <x:c r="J191" s="8"/>
      <x:c r="K191" s="7"/>
      <x:c r="L191" s="7"/>
      <x:c r="M191" s="7"/>
      <x:c r="N191" s="7"/>
      <x:c r="O191" s="7"/>
      <x:c r="P191" s="7"/>
      <x:c r="Q191" s="3" t="str">
        <x:f>IF(COUNTA(A191:P191)=0,"",IFERROR(IF(AND(A191&lt;&gt;"",COUNTIF($A$2:$A$201,A191)=1,OR(LEFT(B191,2)="V-",LEFT(B191,4)="SYN-"),LEN(MID(B191,IF(LEFT(B191,2)="V-",3,5),30))&gt;0,ISNUMBER(VALUE(MID(B191,IF(LEFT(B191,2)="V-",3,5),30))),VALUE(MID(B191,IF(LEFT(B191,2)="V-",3,5),30))&gt;=0,MOD(VALUE(MID(B191,IF(LEFT(B191,2)="V-",3,5),30)),1)=0,COUNTIFS(Slots!$A$2:$A$31,"E1",Slots!$B$2:$B$31,C191)=1,ISNUMBER(SEARCH("|"&amp;D191&amp;"|","|"&amp;Settings!$B$9&amp;"|")),OR(E191="regular",E191="first"),OR(F191="include",F191="duplicate",F191="late"),OR(H191="yes",H191="no"),OR(I191="success",I191="failed",I191="unknown",I191="not_sent"),OR(K191="yes",K191="no",K191="none",K191="conflict",K191="unknown"),OR(L191="text",L191="emoji",L191="voice",L191="none",L191="unknown"),OR(M191="yes",M191="no",M191="unknown"),OR(N191="yes",N191="no",N191="unknown"),ISNUMBER(O191),OR(O191=0,O191=1),OR(P191="",P191="soft_yes",P191="forgot",P191="time_place",P191="clash",P191="travel",P191="personal",P191="unknown",P191="silent_but_came"),OR(I191&lt;&gt;"success",AND(J191&lt;&gt;"",COUNTIFS($J$2:$J$201,J191,$I$2:$I$201,"success")=1)),OR(I191&lt;&gt;"not_sent",J191=""),IF(F191="duplicate",AND(COUNTIFS($A$2:$A$201,G191,$B$2:$B$201,B191,$C$2:$C$201,C191,$F$2:$F$201,"include")=1,H191="no",I191="not_sent",K191="none",M191="no",N191="no",O191=0),AND(G191="",N191&lt;&gt;"unknown",COUNTIFS($B$2:$B$201,B191,$F$2:$F$201,"&lt;&gt;duplicate")=1)),IF(F191="include",AND(H191="yes",K191&lt;&gt;"conflict",K191&lt;&gt;"unknown",M191&lt;&gt;"unknown",IF(OR(K191="yes",K191="no"),AND(M191="yes",OR(L191="text",L191="emoji",L191="voice")),L191="none")),TRUE),IF(F191="late",AND(H191="no",I191="not_sent",K191="none",L191="none",O191=0),TRUE)),"OK","CHECK"),"CHECK"))</x:f>
      </x:c>
      <x:c r="R191" s="3"/>
    </x:row>
    <x:row r="192" ht="22" customHeight="1">
      <x:c r="A192" s="8"/>
      <x:c r="B192" s="8"/>
      <x:c r="C192" s="8"/>
      <x:c r="D192" s="8"/>
      <x:c r="E192" s="7"/>
      <x:c r="F192" s="7"/>
      <x:c r="G192" s="7"/>
      <x:c r="H192" s="7"/>
      <x:c r="I192" s="7"/>
      <x:c r="J192" s="8"/>
      <x:c r="K192" s="7"/>
      <x:c r="L192" s="7"/>
      <x:c r="M192" s="7"/>
      <x:c r="N192" s="7"/>
      <x:c r="O192" s="7"/>
      <x:c r="P192" s="7"/>
      <x:c r="Q192" s="3" t="str">
        <x:f>IF(COUNTA(A192:P192)=0,"",IFERROR(IF(AND(A192&lt;&gt;"",COUNTIF($A$2:$A$201,A192)=1,OR(LEFT(B192,2)="V-",LEFT(B192,4)="SYN-"),LEN(MID(B192,IF(LEFT(B192,2)="V-",3,5),30))&gt;0,ISNUMBER(VALUE(MID(B192,IF(LEFT(B192,2)="V-",3,5),30))),VALUE(MID(B192,IF(LEFT(B192,2)="V-",3,5),30))&gt;=0,MOD(VALUE(MID(B192,IF(LEFT(B192,2)="V-",3,5),30)),1)=0,COUNTIFS(Slots!$A$2:$A$31,"E1",Slots!$B$2:$B$31,C192)=1,ISNUMBER(SEARCH("|"&amp;D192&amp;"|","|"&amp;Settings!$B$9&amp;"|")),OR(E192="regular",E192="first"),OR(F192="include",F192="duplicate",F192="late"),OR(H192="yes",H192="no"),OR(I192="success",I192="failed",I192="unknown",I192="not_sent"),OR(K192="yes",K192="no",K192="none",K192="conflict",K192="unknown"),OR(L192="text",L192="emoji",L192="voice",L192="none",L192="unknown"),OR(M192="yes",M192="no",M192="unknown"),OR(N192="yes",N192="no",N192="unknown"),ISNUMBER(O192),OR(O192=0,O192=1),OR(P192="",P192="soft_yes",P192="forgot",P192="time_place",P192="clash",P192="travel",P192="personal",P192="unknown",P192="silent_but_came"),OR(I192&lt;&gt;"success",AND(J192&lt;&gt;"",COUNTIFS($J$2:$J$201,J192,$I$2:$I$201,"success")=1)),OR(I192&lt;&gt;"not_sent",J192=""),IF(F192="duplicate",AND(COUNTIFS($A$2:$A$201,G192,$B$2:$B$201,B192,$C$2:$C$201,C192,$F$2:$F$201,"include")=1,H192="no",I192="not_sent",K192="none",M192="no",N192="no",O192=0),AND(G192="",N192&lt;&gt;"unknown",COUNTIFS($B$2:$B$201,B192,$F$2:$F$201,"&lt;&gt;duplicate")=1)),IF(F192="include",AND(H192="yes",K192&lt;&gt;"conflict",K192&lt;&gt;"unknown",M192&lt;&gt;"unknown",IF(OR(K192="yes",K192="no"),AND(M192="yes",OR(L192="text",L192="emoji",L192="voice")),L192="none")),TRUE),IF(F192="late",AND(H192="no",I192="not_sent",K192="none",L192="none",O192=0),TRUE)),"OK","CHECK"),"CHECK"))</x:f>
      </x:c>
      <x:c r="R192" s="3"/>
    </x:row>
    <x:row r="193" ht="22" customHeight="1">
      <x:c r="A193" s="8"/>
      <x:c r="B193" s="8"/>
      <x:c r="C193" s="8"/>
      <x:c r="D193" s="8"/>
      <x:c r="E193" s="7"/>
      <x:c r="F193" s="7"/>
      <x:c r="G193" s="7"/>
      <x:c r="H193" s="7"/>
      <x:c r="I193" s="7"/>
      <x:c r="J193" s="8"/>
      <x:c r="K193" s="7"/>
      <x:c r="L193" s="7"/>
      <x:c r="M193" s="7"/>
      <x:c r="N193" s="7"/>
      <x:c r="O193" s="7"/>
      <x:c r="P193" s="7"/>
      <x:c r="Q193" s="3" t="str">
        <x:f>IF(COUNTA(A193:P193)=0,"",IFERROR(IF(AND(A193&lt;&gt;"",COUNTIF($A$2:$A$201,A193)=1,OR(LEFT(B193,2)="V-",LEFT(B193,4)="SYN-"),LEN(MID(B193,IF(LEFT(B193,2)="V-",3,5),30))&gt;0,ISNUMBER(VALUE(MID(B193,IF(LEFT(B193,2)="V-",3,5),30))),VALUE(MID(B193,IF(LEFT(B193,2)="V-",3,5),30))&gt;=0,MOD(VALUE(MID(B193,IF(LEFT(B193,2)="V-",3,5),30)),1)=0,COUNTIFS(Slots!$A$2:$A$31,"E1",Slots!$B$2:$B$31,C193)=1,ISNUMBER(SEARCH("|"&amp;D193&amp;"|","|"&amp;Settings!$B$9&amp;"|")),OR(E193="regular",E193="first"),OR(F193="include",F193="duplicate",F193="late"),OR(H193="yes",H193="no"),OR(I193="success",I193="failed",I193="unknown",I193="not_sent"),OR(K193="yes",K193="no",K193="none",K193="conflict",K193="unknown"),OR(L193="text",L193="emoji",L193="voice",L193="none",L193="unknown"),OR(M193="yes",M193="no",M193="unknown"),OR(N193="yes",N193="no",N193="unknown"),ISNUMBER(O193),OR(O193=0,O193=1),OR(P193="",P193="soft_yes",P193="forgot",P193="time_place",P193="clash",P193="travel",P193="personal",P193="unknown",P193="silent_but_came"),OR(I193&lt;&gt;"success",AND(J193&lt;&gt;"",COUNTIFS($J$2:$J$201,J193,$I$2:$I$201,"success")=1)),OR(I193&lt;&gt;"not_sent",J193=""),IF(F193="duplicate",AND(COUNTIFS($A$2:$A$201,G193,$B$2:$B$201,B193,$C$2:$C$201,C193,$F$2:$F$201,"include")=1,H193="no",I193="not_sent",K193="none",M193="no",N193="no",O193=0),AND(G193="",N193&lt;&gt;"unknown",COUNTIFS($B$2:$B$201,B193,$F$2:$F$201,"&lt;&gt;duplicate")=1)),IF(F193="include",AND(H193="yes",K193&lt;&gt;"conflict",K193&lt;&gt;"unknown",M193&lt;&gt;"unknown",IF(OR(K193="yes",K193="no"),AND(M193="yes",OR(L193="text",L193="emoji",L193="voice")),L193="none")),TRUE),IF(F193="late",AND(H193="no",I193="not_sent",K193="none",L193="none",O193=0),TRUE)),"OK","CHECK"),"CHECK"))</x:f>
      </x:c>
      <x:c r="R193" s="3"/>
    </x:row>
    <x:row r="194" ht="22" customHeight="1">
      <x:c r="A194" s="8"/>
      <x:c r="B194" s="8"/>
      <x:c r="C194" s="8"/>
      <x:c r="D194" s="8"/>
      <x:c r="E194" s="7"/>
      <x:c r="F194" s="7"/>
      <x:c r="G194" s="7"/>
      <x:c r="H194" s="7"/>
      <x:c r="I194" s="7"/>
      <x:c r="J194" s="8"/>
      <x:c r="K194" s="7"/>
      <x:c r="L194" s="7"/>
      <x:c r="M194" s="7"/>
      <x:c r="N194" s="7"/>
      <x:c r="O194" s="7"/>
      <x:c r="P194" s="7"/>
      <x:c r="Q194" s="3" t="str">
        <x:f>IF(COUNTA(A194:P194)=0,"",IFERROR(IF(AND(A194&lt;&gt;"",COUNTIF($A$2:$A$201,A194)=1,OR(LEFT(B194,2)="V-",LEFT(B194,4)="SYN-"),LEN(MID(B194,IF(LEFT(B194,2)="V-",3,5),30))&gt;0,ISNUMBER(VALUE(MID(B194,IF(LEFT(B194,2)="V-",3,5),30))),VALUE(MID(B194,IF(LEFT(B194,2)="V-",3,5),30))&gt;=0,MOD(VALUE(MID(B194,IF(LEFT(B194,2)="V-",3,5),30)),1)=0,COUNTIFS(Slots!$A$2:$A$31,"E1",Slots!$B$2:$B$31,C194)=1,ISNUMBER(SEARCH("|"&amp;D194&amp;"|","|"&amp;Settings!$B$9&amp;"|")),OR(E194="regular",E194="first"),OR(F194="include",F194="duplicate",F194="late"),OR(H194="yes",H194="no"),OR(I194="success",I194="failed",I194="unknown",I194="not_sent"),OR(K194="yes",K194="no",K194="none",K194="conflict",K194="unknown"),OR(L194="text",L194="emoji",L194="voice",L194="none",L194="unknown"),OR(M194="yes",M194="no",M194="unknown"),OR(N194="yes",N194="no",N194="unknown"),ISNUMBER(O194),OR(O194=0,O194=1),OR(P194="",P194="soft_yes",P194="forgot",P194="time_place",P194="clash",P194="travel",P194="personal",P194="unknown",P194="silent_but_came"),OR(I194&lt;&gt;"success",AND(J194&lt;&gt;"",COUNTIFS($J$2:$J$201,J194,$I$2:$I$201,"success")=1)),OR(I194&lt;&gt;"not_sent",J194=""),IF(F194="duplicate",AND(COUNTIFS($A$2:$A$201,G194,$B$2:$B$201,B194,$C$2:$C$201,C194,$F$2:$F$201,"include")=1,H194="no",I194="not_sent",K194="none",M194="no",N194="no",O194=0),AND(G194="",N194&lt;&gt;"unknown",COUNTIFS($B$2:$B$201,B194,$F$2:$F$201,"&lt;&gt;duplicate")=1)),IF(F194="include",AND(H194="yes",K194&lt;&gt;"conflict",K194&lt;&gt;"unknown",M194&lt;&gt;"unknown",IF(OR(K194="yes",K194="no"),AND(M194="yes",OR(L194="text",L194="emoji",L194="voice")),L194="none")),TRUE),IF(F194="late",AND(H194="no",I194="not_sent",K194="none",L194="none",O194=0),TRUE)),"OK","CHECK"),"CHECK"))</x:f>
      </x:c>
      <x:c r="R194" s="3"/>
    </x:row>
    <x:row r="195" ht="22" customHeight="1">
      <x:c r="A195" s="8"/>
      <x:c r="B195" s="8"/>
      <x:c r="C195" s="8"/>
      <x:c r="D195" s="8"/>
      <x:c r="E195" s="7"/>
      <x:c r="F195" s="7"/>
      <x:c r="G195" s="7"/>
      <x:c r="H195" s="7"/>
      <x:c r="I195" s="7"/>
      <x:c r="J195" s="8"/>
      <x:c r="K195" s="7"/>
      <x:c r="L195" s="7"/>
      <x:c r="M195" s="7"/>
      <x:c r="N195" s="7"/>
      <x:c r="O195" s="7"/>
      <x:c r="P195" s="7"/>
      <x:c r="Q195" s="3" t="str">
        <x:f>IF(COUNTA(A195:P195)=0,"",IFERROR(IF(AND(A195&lt;&gt;"",COUNTIF($A$2:$A$201,A195)=1,OR(LEFT(B195,2)="V-",LEFT(B195,4)="SYN-"),LEN(MID(B195,IF(LEFT(B195,2)="V-",3,5),30))&gt;0,ISNUMBER(VALUE(MID(B195,IF(LEFT(B195,2)="V-",3,5),30))),VALUE(MID(B195,IF(LEFT(B195,2)="V-",3,5),30))&gt;=0,MOD(VALUE(MID(B195,IF(LEFT(B195,2)="V-",3,5),30)),1)=0,COUNTIFS(Slots!$A$2:$A$31,"E1",Slots!$B$2:$B$31,C195)=1,ISNUMBER(SEARCH("|"&amp;D195&amp;"|","|"&amp;Settings!$B$9&amp;"|")),OR(E195="regular",E195="first"),OR(F195="include",F195="duplicate",F195="late"),OR(H195="yes",H195="no"),OR(I195="success",I195="failed",I195="unknown",I195="not_sent"),OR(K195="yes",K195="no",K195="none",K195="conflict",K195="unknown"),OR(L195="text",L195="emoji",L195="voice",L195="none",L195="unknown"),OR(M195="yes",M195="no",M195="unknown"),OR(N195="yes",N195="no",N195="unknown"),ISNUMBER(O195),OR(O195=0,O195=1),OR(P195="",P195="soft_yes",P195="forgot",P195="time_place",P195="clash",P195="travel",P195="personal",P195="unknown",P195="silent_but_came"),OR(I195&lt;&gt;"success",AND(J195&lt;&gt;"",COUNTIFS($J$2:$J$201,J195,$I$2:$I$201,"success")=1)),OR(I195&lt;&gt;"not_sent",J195=""),IF(F195="duplicate",AND(COUNTIFS($A$2:$A$201,G195,$B$2:$B$201,B195,$C$2:$C$201,C195,$F$2:$F$201,"include")=1,H195="no",I195="not_sent",K195="none",M195="no",N195="no",O195=0),AND(G195="",N195&lt;&gt;"unknown",COUNTIFS($B$2:$B$201,B195,$F$2:$F$201,"&lt;&gt;duplicate")=1)),IF(F195="include",AND(H195="yes",K195&lt;&gt;"conflict",K195&lt;&gt;"unknown",M195&lt;&gt;"unknown",IF(OR(K195="yes",K195="no"),AND(M195="yes",OR(L195="text",L195="emoji",L195="voice")),L195="none")),TRUE),IF(F195="late",AND(H195="no",I195="not_sent",K195="none",L195="none",O195=0),TRUE)),"OK","CHECK"),"CHECK"))</x:f>
      </x:c>
      <x:c r="R195" s="3"/>
    </x:row>
    <x:row r="196" ht="22" customHeight="1">
      <x:c r="A196" s="8"/>
      <x:c r="B196" s="8"/>
      <x:c r="C196" s="8"/>
      <x:c r="D196" s="8"/>
      <x:c r="E196" s="7"/>
      <x:c r="F196" s="7"/>
      <x:c r="G196" s="7"/>
      <x:c r="H196" s="7"/>
      <x:c r="I196" s="7"/>
      <x:c r="J196" s="8"/>
      <x:c r="K196" s="7"/>
      <x:c r="L196" s="7"/>
      <x:c r="M196" s="7"/>
      <x:c r="N196" s="7"/>
      <x:c r="O196" s="7"/>
      <x:c r="P196" s="7"/>
      <x:c r="Q196" s="3" t="str">
        <x:f>IF(COUNTA(A196:P196)=0,"",IFERROR(IF(AND(A196&lt;&gt;"",COUNTIF($A$2:$A$201,A196)=1,OR(LEFT(B196,2)="V-",LEFT(B196,4)="SYN-"),LEN(MID(B196,IF(LEFT(B196,2)="V-",3,5),30))&gt;0,ISNUMBER(VALUE(MID(B196,IF(LEFT(B196,2)="V-",3,5),30))),VALUE(MID(B196,IF(LEFT(B196,2)="V-",3,5),30))&gt;=0,MOD(VALUE(MID(B196,IF(LEFT(B196,2)="V-",3,5),30)),1)=0,COUNTIFS(Slots!$A$2:$A$31,"E1",Slots!$B$2:$B$31,C196)=1,ISNUMBER(SEARCH("|"&amp;D196&amp;"|","|"&amp;Settings!$B$9&amp;"|")),OR(E196="regular",E196="first"),OR(F196="include",F196="duplicate",F196="late"),OR(H196="yes",H196="no"),OR(I196="success",I196="failed",I196="unknown",I196="not_sent"),OR(K196="yes",K196="no",K196="none",K196="conflict",K196="unknown"),OR(L196="text",L196="emoji",L196="voice",L196="none",L196="unknown"),OR(M196="yes",M196="no",M196="unknown"),OR(N196="yes",N196="no",N196="unknown"),ISNUMBER(O196),OR(O196=0,O196=1),OR(P196="",P196="soft_yes",P196="forgot",P196="time_place",P196="clash",P196="travel",P196="personal",P196="unknown",P196="silent_but_came"),OR(I196&lt;&gt;"success",AND(J196&lt;&gt;"",COUNTIFS($J$2:$J$201,J196,$I$2:$I$201,"success")=1)),OR(I196&lt;&gt;"not_sent",J196=""),IF(F196="duplicate",AND(COUNTIFS($A$2:$A$201,G196,$B$2:$B$201,B196,$C$2:$C$201,C196,$F$2:$F$201,"include")=1,H196="no",I196="not_sent",K196="none",M196="no",N196="no",O196=0),AND(G196="",N196&lt;&gt;"unknown",COUNTIFS($B$2:$B$201,B196,$F$2:$F$201,"&lt;&gt;duplicate")=1)),IF(F196="include",AND(H196="yes",K196&lt;&gt;"conflict",K196&lt;&gt;"unknown",M196&lt;&gt;"unknown",IF(OR(K196="yes",K196="no"),AND(M196="yes",OR(L196="text",L196="emoji",L196="voice")),L196="none")),TRUE),IF(F196="late",AND(H196="no",I196="not_sent",K196="none",L196="none",O196=0),TRUE)),"OK","CHECK"),"CHECK"))</x:f>
      </x:c>
      <x:c r="R196" s="3"/>
    </x:row>
    <x:row r="197" ht="22" customHeight="1">
      <x:c r="A197" s="8"/>
      <x:c r="B197" s="8"/>
      <x:c r="C197" s="8"/>
      <x:c r="D197" s="8"/>
      <x:c r="E197" s="7"/>
      <x:c r="F197" s="7"/>
      <x:c r="G197" s="7"/>
      <x:c r="H197" s="7"/>
      <x:c r="I197" s="7"/>
      <x:c r="J197" s="8"/>
      <x:c r="K197" s="7"/>
      <x:c r="L197" s="7"/>
      <x:c r="M197" s="7"/>
      <x:c r="N197" s="7"/>
      <x:c r="O197" s="7"/>
      <x:c r="P197" s="7"/>
      <x:c r="Q197" s="3" t="str">
        <x:f>IF(COUNTA(A197:P197)=0,"",IFERROR(IF(AND(A197&lt;&gt;"",COUNTIF($A$2:$A$201,A197)=1,OR(LEFT(B197,2)="V-",LEFT(B197,4)="SYN-"),LEN(MID(B197,IF(LEFT(B197,2)="V-",3,5),30))&gt;0,ISNUMBER(VALUE(MID(B197,IF(LEFT(B197,2)="V-",3,5),30))),VALUE(MID(B197,IF(LEFT(B197,2)="V-",3,5),30))&gt;=0,MOD(VALUE(MID(B197,IF(LEFT(B197,2)="V-",3,5),30)),1)=0,COUNTIFS(Slots!$A$2:$A$31,"E1",Slots!$B$2:$B$31,C197)=1,ISNUMBER(SEARCH("|"&amp;D197&amp;"|","|"&amp;Settings!$B$9&amp;"|")),OR(E197="regular",E197="first"),OR(F197="include",F197="duplicate",F197="late"),OR(H197="yes",H197="no"),OR(I197="success",I197="failed",I197="unknown",I197="not_sent"),OR(K197="yes",K197="no",K197="none",K197="conflict",K197="unknown"),OR(L197="text",L197="emoji",L197="voice",L197="none",L197="unknown"),OR(M197="yes",M197="no",M197="unknown"),OR(N197="yes",N197="no",N197="unknown"),ISNUMBER(O197),OR(O197=0,O197=1),OR(P197="",P197="soft_yes",P197="forgot",P197="time_place",P197="clash",P197="travel",P197="personal",P197="unknown",P197="silent_but_came"),OR(I197&lt;&gt;"success",AND(J197&lt;&gt;"",COUNTIFS($J$2:$J$201,J197,$I$2:$I$201,"success")=1)),OR(I197&lt;&gt;"not_sent",J197=""),IF(F197="duplicate",AND(COUNTIFS($A$2:$A$201,G197,$B$2:$B$201,B197,$C$2:$C$201,C197,$F$2:$F$201,"include")=1,H197="no",I197="not_sent",K197="none",M197="no",N197="no",O197=0),AND(G197="",N197&lt;&gt;"unknown",COUNTIFS($B$2:$B$201,B197,$F$2:$F$201,"&lt;&gt;duplicate")=1)),IF(F197="include",AND(H197="yes",K197&lt;&gt;"conflict",K197&lt;&gt;"unknown",M197&lt;&gt;"unknown",IF(OR(K197="yes",K197="no"),AND(M197="yes",OR(L197="text",L197="emoji",L197="voice")),L197="none")),TRUE),IF(F197="late",AND(H197="no",I197="not_sent",K197="none",L197="none",O197=0),TRUE)),"OK","CHECK"),"CHECK"))</x:f>
      </x:c>
      <x:c r="R197" s="3"/>
    </x:row>
    <x:row r="198" ht="22" customHeight="1">
      <x:c r="A198" s="8"/>
      <x:c r="B198" s="8"/>
      <x:c r="C198" s="8"/>
      <x:c r="D198" s="8"/>
      <x:c r="E198" s="7"/>
      <x:c r="F198" s="7"/>
      <x:c r="G198" s="7"/>
      <x:c r="H198" s="7"/>
      <x:c r="I198" s="7"/>
      <x:c r="J198" s="8"/>
      <x:c r="K198" s="7"/>
      <x:c r="L198" s="7"/>
      <x:c r="M198" s="7"/>
      <x:c r="N198" s="7"/>
      <x:c r="O198" s="7"/>
      <x:c r="P198" s="7"/>
      <x:c r="Q198" s="3" t="str">
        <x:f>IF(COUNTA(A198:P198)=0,"",IFERROR(IF(AND(A198&lt;&gt;"",COUNTIF($A$2:$A$201,A198)=1,OR(LEFT(B198,2)="V-",LEFT(B198,4)="SYN-"),LEN(MID(B198,IF(LEFT(B198,2)="V-",3,5),30))&gt;0,ISNUMBER(VALUE(MID(B198,IF(LEFT(B198,2)="V-",3,5),30))),VALUE(MID(B198,IF(LEFT(B198,2)="V-",3,5),30))&gt;=0,MOD(VALUE(MID(B198,IF(LEFT(B198,2)="V-",3,5),30)),1)=0,COUNTIFS(Slots!$A$2:$A$31,"E1",Slots!$B$2:$B$31,C198)=1,ISNUMBER(SEARCH("|"&amp;D198&amp;"|","|"&amp;Settings!$B$9&amp;"|")),OR(E198="regular",E198="first"),OR(F198="include",F198="duplicate",F198="late"),OR(H198="yes",H198="no"),OR(I198="success",I198="failed",I198="unknown",I198="not_sent"),OR(K198="yes",K198="no",K198="none",K198="conflict",K198="unknown"),OR(L198="text",L198="emoji",L198="voice",L198="none",L198="unknown"),OR(M198="yes",M198="no",M198="unknown"),OR(N198="yes",N198="no",N198="unknown"),ISNUMBER(O198),OR(O198=0,O198=1),OR(P198="",P198="soft_yes",P198="forgot",P198="time_place",P198="clash",P198="travel",P198="personal",P198="unknown",P198="silent_but_came"),OR(I198&lt;&gt;"success",AND(J198&lt;&gt;"",COUNTIFS($J$2:$J$201,J198,$I$2:$I$201,"success")=1)),OR(I198&lt;&gt;"not_sent",J198=""),IF(F198="duplicate",AND(COUNTIFS($A$2:$A$201,G198,$B$2:$B$201,B198,$C$2:$C$201,C198,$F$2:$F$201,"include")=1,H198="no",I198="not_sent",K198="none",M198="no",N198="no",O198=0),AND(G198="",N198&lt;&gt;"unknown",COUNTIFS($B$2:$B$201,B198,$F$2:$F$201,"&lt;&gt;duplicate")=1)),IF(F198="include",AND(H198="yes",K198&lt;&gt;"conflict",K198&lt;&gt;"unknown",M198&lt;&gt;"unknown",IF(OR(K198="yes",K198="no"),AND(M198="yes",OR(L198="text",L198="emoji",L198="voice")),L198="none")),TRUE),IF(F198="late",AND(H198="no",I198="not_sent",K198="none",L198="none",O198=0),TRUE)),"OK","CHECK"),"CHECK"))</x:f>
      </x:c>
      <x:c r="R198" s="3"/>
    </x:row>
    <x:row r="199" ht="22" customHeight="1">
      <x:c r="A199" s="8"/>
      <x:c r="B199" s="8"/>
      <x:c r="C199" s="8"/>
      <x:c r="D199" s="8"/>
      <x:c r="E199" s="7"/>
      <x:c r="F199" s="7"/>
      <x:c r="G199" s="7"/>
      <x:c r="H199" s="7"/>
      <x:c r="I199" s="7"/>
      <x:c r="J199" s="8"/>
      <x:c r="K199" s="7"/>
      <x:c r="L199" s="7"/>
      <x:c r="M199" s="7"/>
      <x:c r="N199" s="7"/>
      <x:c r="O199" s="7"/>
      <x:c r="P199" s="7"/>
      <x:c r="Q199" s="3" t="str">
        <x:f>IF(COUNTA(A199:P199)=0,"",IFERROR(IF(AND(A199&lt;&gt;"",COUNTIF($A$2:$A$201,A199)=1,OR(LEFT(B199,2)="V-",LEFT(B199,4)="SYN-"),LEN(MID(B199,IF(LEFT(B199,2)="V-",3,5),30))&gt;0,ISNUMBER(VALUE(MID(B199,IF(LEFT(B199,2)="V-",3,5),30))),VALUE(MID(B199,IF(LEFT(B199,2)="V-",3,5),30))&gt;=0,MOD(VALUE(MID(B199,IF(LEFT(B199,2)="V-",3,5),30)),1)=0,COUNTIFS(Slots!$A$2:$A$31,"E1",Slots!$B$2:$B$31,C199)=1,ISNUMBER(SEARCH("|"&amp;D199&amp;"|","|"&amp;Settings!$B$9&amp;"|")),OR(E199="regular",E199="first"),OR(F199="include",F199="duplicate",F199="late"),OR(H199="yes",H199="no"),OR(I199="success",I199="failed",I199="unknown",I199="not_sent"),OR(K199="yes",K199="no",K199="none",K199="conflict",K199="unknown"),OR(L199="text",L199="emoji",L199="voice",L199="none",L199="unknown"),OR(M199="yes",M199="no",M199="unknown"),OR(N199="yes",N199="no",N199="unknown"),ISNUMBER(O199),OR(O199=0,O199=1),OR(P199="",P199="soft_yes",P199="forgot",P199="time_place",P199="clash",P199="travel",P199="personal",P199="unknown",P199="silent_but_came"),OR(I199&lt;&gt;"success",AND(J199&lt;&gt;"",COUNTIFS($J$2:$J$201,J199,$I$2:$I$201,"success")=1)),OR(I199&lt;&gt;"not_sent",J199=""),IF(F199="duplicate",AND(COUNTIFS($A$2:$A$201,G199,$B$2:$B$201,B199,$C$2:$C$201,C199,$F$2:$F$201,"include")=1,H199="no",I199="not_sent",K199="none",M199="no",N199="no",O199=0),AND(G199="",N199&lt;&gt;"unknown",COUNTIFS($B$2:$B$201,B199,$F$2:$F$201,"&lt;&gt;duplicate")=1)),IF(F199="include",AND(H199="yes",K199&lt;&gt;"conflict",K199&lt;&gt;"unknown",M199&lt;&gt;"unknown",IF(OR(K199="yes",K199="no"),AND(M199="yes",OR(L199="text",L199="emoji",L199="voice")),L199="none")),TRUE),IF(F199="late",AND(H199="no",I199="not_sent",K199="none",L199="none",O199=0),TRUE)),"OK","CHECK"),"CHECK"))</x:f>
      </x:c>
      <x:c r="R199" s="3"/>
    </x:row>
    <x:row r="200" ht="22" customHeight="1">
      <x:c r="A200" s="8"/>
      <x:c r="B200" s="8"/>
      <x:c r="C200" s="8"/>
      <x:c r="D200" s="8"/>
      <x:c r="E200" s="7"/>
      <x:c r="F200" s="7"/>
      <x:c r="G200" s="7"/>
      <x:c r="H200" s="7"/>
      <x:c r="I200" s="7"/>
      <x:c r="J200" s="8"/>
      <x:c r="K200" s="7"/>
      <x:c r="L200" s="7"/>
      <x:c r="M200" s="7"/>
      <x:c r="N200" s="7"/>
      <x:c r="O200" s="7"/>
      <x:c r="P200" s="7"/>
      <x:c r="Q200" s="3" t="str">
        <x:f>IF(COUNTA(A200:P200)=0,"",IFERROR(IF(AND(A200&lt;&gt;"",COUNTIF($A$2:$A$201,A200)=1,OR(LEFT(B200,2)="V-",LEFT(B200,4)="SYN-"),LEN(MID(B200,IF(LEFT(B200,2)="V-",3,5),30))&gt;0,ISNUMBER(VALUE(MID(B200,IF(LEFT(B200,2)="V-",3,5),30))),VALUE(MID(B200,IF(LEFT(B200,2)="V-",3,5),30))&gt;=0,MOD(VALUE(MID(B200,IF(LEFT(B200,2)="V-",3,5),30)),1)=0,COUNTIFS(Slots!$A$2:$A$31,"E1",Slots!$B$2:$B$31,C200)=1,ISNUMBER(SEARCH("|"&amp;D200&amp;"|","|"&amp;Settings!$B$9&amp;"|")),OR(E200="regular",E200="first"),OR(F200="include",F200="duplicate",F200="late"),OR(H200="yes",H200="no"),OR(I200="success",I200="failed",I200="unknown",I200="not_sent"),OR(K200="yes",K200="no",K200="none",K200="conflict",K200="unknown"),OR(L200="text",L200="emoji",L200="voice",L200="none",L200="unknown"),OR(M200="yes",M200="no",M200="unknown"),OR(N200="yes",N200="no",N200="unknown"),ISNUMBER(O200),OR(O200=0,O200=1),OR(P200="",P200="soft_yes",P200="forgot",P200="time_place",P200="clash",P200="travel",P200="personal",P200="unknown",P200="silent_but_came"),OR(I200&lt;&gt;"success",AND(J200&lt;&gt;"",COUNTIFS($J$2:$J$201,J200,$I$2:$I$201,"success")=1)),OR(I200&lt;&gt;"not_sent",J200=""),IF(F200="duplicate",AND(COUNTIFS($A$2:$A$201,G200,$B$2:$B$201,B200,$C$2:$C$201,C200,$F$2:$F$201,"include")=1,H200="no",I200="not_sent",K200="none",M200="no",N200="no",O200=0),AND(G200="",N200&lt;&gt;"unknown",COUNTIFS($B$2:$B$201,B200,$F$2:$F$201,"&lt;&gt;duplicate")=1)),IF(F200="include",AND(H200="yes",K200&lt;&gt;"conflict",K200&lt;&gt;"unknown",M200&lt;&gt;"unknown",IF(OR(K200="yes",K200="no"),AND(M200="yes",OR(L200="text",L200="emoji",L200="voice")),L200="none")),TRUE),IF(F200="late",AND(H200="no",I200="not_sent",K200="none",L200="none",O200=0),TRUE)),"OK","CHECK"),"CHECK"))</x:f>
      </x:c>
      <x:c r="R200" s="3"/>
    </x:row>
    <x:row r="201" ht="22" customHeight="1">
      <x:c r="A201" s="8"/>
      <x:c r="B201" s="8"/>
      <x:c r="C201" s="8"/>
      <x:c r="D201" s="8"/>
      <x:c r="E201" s="7"/>
      <x:c r="F201" s="7"/>
      <x:c r="G201" s="7"/>
      <x:c r="H201" s="7"/>
      <x:c r="I201" s="7"/>
      <x:c r="J201" s="8"/>
      <x:c r="K201" s="7"/>
      <x:c r="L201" s="7"/>
      <x:c r="M201" s="7"/>
      <x:c r="N201" s="7"/>
      <x:c r="O201" s="7"/>
      <x:c r="P201" s="7"/>
      <x:c r="Q201" s="3" t="str">
        <x:f>IF(COUNTA(A201:P201)=0,"",IFERROR(IF(AND(A201&lt;&gt;"",COUNTIF($A$2:$A$201,A201)=1,OR(LEFT(B201,2)="V-",LEFT(B201,4)="SYN-"),LEN(MID(B201,IF(LEFT(B201,2)="V-",3,5),30))&gt;0,ISNUMBER(VALUE(MID(B201,IF(LEFT(B201,2)="V-",3,5),30))),VALUE(MID(B201,IF(LEFT(B201,2)="V-",3,5),30))&gt;=0,MOD(VALUE(MID(B201,IF(LEFT(B201,2)="V-",3,5),30)),1)=0,COUNTIFS(Slots!$A$2:$A$31,"E1",Slots!$B$2:$B$31,C201)=1,ISNUMBER(SEARCH("|"&amp;D201&amp;"|","|"&amp;Settings!$B$9&amp;"|")),OR(E201="regular",E201="first"),OR(F201="include",F201="duplicate",F201="late"),OR(H201="yes",H201="no"),OR(I201="success",I201="failed",I201="unknown",I201="not_sent"),OR(K201="yes",K201="no",K201="none",K201="conflict",K201="unknown"),OR(L201="text",L201="emoji",L201="voice",L201="none",L201="unknown"),OR(M201="yes",M201="no",M201="unknown"),OR(N201="yes",N201="no",N201="unknown"),ISNUMBER(O201),OR(O201=0,O201=1),OR(P201="",P201="soft_yes",P201="forgot",P201="time_place",P201="clash",P201="travel",P201="personal",P201="unknown",P201="silent_but_came"),OR(I201&lt;&gt;"success",AND(J201&lt;&gt;"",COUNTIFS($J$2:$J$201,J201,$I$2:$I$201,"success")=1)),OR(I201&lt;&gt;"not_sent",J201=""),IF(F201="duplicate",AND(COUNTIFS($A$2:$A$201,G201,$B$2:$B$201,B201,$C$2:$C$201,C201,$F$2:$F$201,"include")=1,H201="no",I201="not_sent",K201="none",M201="no",N201="no",O201=0),AND(G201="",N201&lt;&gt;"unknown",COUNTIFS($B$2:$B$201,B201,$F$2:$F$201,"&lt;&gt;duplicate")=1)),IF(F201="include",AND(H201="yes",K201&lt;&gt;"conflict",K201&lt;&gt;"unknown",M201&lt;&gt;"unknown",IF(OR(K201="yes",K201="no"),AND(M201="yes",OR(L201="text",L201="emoji",L201="voice")),L201="none")),TRUE),IF(F201="late",AND(H201="no",I201="not_sent",K201="none",L201="none",O201=0),TRUE)),"OK","CHECK"),"CHECK"))</x:f>
      </x:c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conditionalFormatting sqref="Q2:Q201">
    <x:cfRule type="containsText" dxfId="0" priority="1" operator="containsText" text="CHECK"/>
  </x:conditionalFormatting>
  <x:dataValidations count="11">
    <x:dataValidation type="list" sqref="D2:D201">
      <x:formula1>"EN,ZH,MS,TA"</x:formula1>
    </x:dataValidation>
    <x:dataValidation type="list" sqref="E2:E201">
      <x:formula1>"regular,first"</x:formula1>
    </x:dataValidation>
    <x:dataValidation type="list" sqref="F2:F201">
      <x:formula1>"include,duplicate,late"</x:formula1>
    </x:dataValidation>
    <x:dataValidation type="list" sqref="H2:H201">
      <x:formula1>"yes,no"</x:formula1>
    </x:dataValidation>
    <x:dataValidation type="list" sqref="I2:I201">
      <x:formula1>"success,failed,unknown,not_sent"</x:formula1>
    </x:dataValidation>
    <x:dataValidation type="list" sqref="K2:K201">
      <x:formula1>"yes,no,none,conflict,unknown"</x:formula1>
    </x:dataValidation>
    <x:dataValidation type="list" sqref="L2:L201">
      <x:formula1>"text,emoji,voice,none,unknown"</x:formula1>
    </x:dataValidation>
    <x:dataValidation type="list" sqref="M2:M201">
      <x:formula1>"yes,no,unknown"</x:formula1>
    </x:dataValidation>
    <x:dataValidation type="list" sqref="N2:N201">
      <x:formula1>"yes,no,unknown"</x:formula1>
    </x:dataValidation>
    <x:dataValidation type="list" sqref="P2:P201">
      <x:formula1>"soft_yes,forgot,time_place,clash,travel,personal,unknown,silent_but_came"</x:formula1>
    </x:dataValidation>
    <x:dataValidation type="whole" operator="between" sqref="O2:O201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record_id</x:v>
      </x:c>
      <x:c r="B1" s="6" t="str">
        <x:v>contact_key</x:v>
      </x:c>
      <x:c r="C1" s="6" t="str">
        <x:v>slot_id</x:v>
      </x:c>
      <x:c r="D1" s="6" t="str">
        <x:v>language</x:v>
      </x:c>
      <x:c r="E1" s="6" t="str">
        <x:v>experience</x:v>
      </x:c>
      <x:c r="F1" s="6" t="str">
        <x:v>disposition</x:v>
      </x:c>
      <x:c r="G1" s="6" t="str">
        <x:v>duplicate_of</x:v>
      </x:c>
      <x:c r="H1" s="6" t="str">
        <x:v>marked_to_send</x:v>
      </x:c>
      <x:c r="I1" s="6" t="str">
        <x:v>send_status</x:v>
      </x:c>
      <x:c r="J1" s="6" t="str">
        <x:v>run_ref</x:v>
      </x:c>
      <x:c r="K1" s="6" t="str">
        <x:v>reply_at_deadline</x:v>
      </x:c>
      <x:c r="L1" s="6" t="str">
        <x:v>reply_form</x:v>
      </x:c>
      <x:c r="M1" s="6" t="str">
        <x:v>ever_replied</x:v>
      </x:c>
      <x:c r="N1" s="6" t="str">
        <x:v>attended</x:v>
      </x:c>
      <x:c r="O1" s="6" t="str">
        <x:v>nudge_count</x:v>
      </x:c>
      <x:c r="P1" s="6" t="str">
        <x:v>reason_category</x:v>
      </x:c>
      <x:c r="Q1" s="6" t="str">
        <x:v>input_check</x:v>
      </x:c>
      <x:c r="R1" s="3"/>
    </x:row>
    <x:row r="2" ht="22" customHeight="1">
      <x:c r="A2" s="8"/>
      <x:c r="B2" s="8"/>
      <x:c r="C2" s="8"/>
      <x:c r="D2" s="8"/>
      <x:c r="E2" s="7"/>
      <x:c r="F2" s="7"/>
      <x:c r="G2" s="7"/>
      <x:c r="H2" s="7"/>
      <x:c r="I2" s="7"/>
      <x:c r="J2" s="8"/>
      <x:c r="K2" s="7"/>
      <x:c r="L2" s="7"/>
      <x:c r="M2" s="7"/>
      <x:c r="N2" s="7"/>
      <x:c r="O2" s="7"/>
      <x:c r="P2" s="7"/>
      <x:c r="Q2" s="3" t="str">
        <x:f>IF(COUNTA(A2:P2)=0,"",IFERROR(IF(AND(A2&lt;&gt;"",COUNTIF($A$2:$A$201,A2)=1,OR(LEFT(B2,2)="V-",LEFT(B2,4)="SYN-"),LEN(MID(B2,IF(LEFT(B2,2)="V-",3,5),30))&gt;0,ISNUMBER(VALUE(MID(B2,IF(LEFT(B2,2)="V-",3,5),30))),VALUE(MID(B2,IF(LEFT(B2,2)="V-",3,5),30))&gt;=0,MOD(VALUE(MID(B2,IF(LEFT(B2,2)="V-",3,5),30)),1)=0,COUNTIFS(Slots!$A$2:$A$31,"E2",Slots!$B$2:$B$31,C2)=1,ISNUMBER(SEARCH("|"&amp;D2&amp;"|","|"&amp;Settings!$B$9&amp;"|")),OR(E2="regular",E2="first"),OR(F2="include",F2="duplicate",F2="late"),OR(H2="yes",H2="no"),OR(I2="success",I2="failed",I2="unknown",I2="not_sent"),OR(K2="yes",K2="no",K2="none",K2="conflict",K2="unknown"),OR(L2="text",L2="emoji",L2="voice",L2="none",L2="unknown"),OR(M2="yes",M2="no",M2="unknown"),OR(N2="yes",N2="no",N2="unknown"),ISNUMBER(O2),OR(O2=0,O2=1),OR(P2="",P2="soft_yes",P2="forgot",P2="time_place",P2="clash",P2="travel",P2="personal",P2="unknown",P2="silent_but_came"),OR(I2&lt;&gt;"success",AND(J2&lt;&gt;"",COUNTIFS($J$2:$J$201,J2,$I$2:$I$201,"success")=1)),OR(I2&lt;&gt;"not_sent",J2=""),IF(F2="duplicate",AND(COUNTIFS($A$2:$A$201,G2,$B$2:$B$201,B2,$C$2:$C$201,C2,$F$2:$F$201,"include")=1,H2="no",I2="not_sent",K2="none",M2="no",N2="no",O2=0),AND(G2="",N2&lt;&gt;"unknown",COUNTIFS($B$2:$B$201,B2,$F$2:$F$201,"&lt;&gt;duplicate")=1)),IF(F2="include",AND(H2="yes",K2&lt;&gt;"conflict",K2&lt;&gt;"unknown",M2&lt;&gt;"unknown",IF(OR(K2="yes",K2="no"),AND(M2="yes",OR(L2="text",L2="emoji",L2="voice")),L2="none")),TRUE),IF(F2="late",AND(H2="no",I2="not_sent",K2="none",L2="none",O2=0),TRUE)),"OK","CHECK"),"CHECK"))</x:f>
      </x:c>
      <x:c r="R2" s="3"/>
    </x:row>
    <x:row r="3" ht="22" customHeight="1">
      <x:c r="A3" s="8"/>
      <x:c r="B3" s="8"/>
      <x:c r="C3" s="8"/>
      <x:c r="D3" s="8"/>
      <x:c r="E3" s="7"/>
      <x:c r="F3" s="7"/>
      <x:c r="G3" s="7"/>
      <x:c r="H3" s="7"/>
      <x:c r="I3" s="7"/>
      <x:c r="J3" s="8"/>
      <x:c r="K3" s="7"/>
      <x:c r="L3" s="7"/>
      <x:c r="M3" s="7"/>
      <x:c r="N3" s="7"/>
      <x:c r="O3" s="7"/>
      <x:c r="P3" s="7"/>
      <x:c r="Q3" s="3" t="str">
        <x:f>IF(COUNTA(A3:P3)=0,"",IFERROR(IF(AND(A3&lt;&gt;"",COUNTIF($A$2:$A$201,A3)=1,OR(LEFT(B3,2)="V-",LEFT(B3,4)="SYN-"),LEN(MID(B3,IF(LEFT(B3,2)="V-",3,5),30))&gt;0,ISNUMBER(VALUE(MID(B3,IF(LEFT(B3,2)="V-",3,5),30))),VALUE(MID(B3,IF(LEFT(B3,2)="V-",3,5),30))&gt;=0,MOD(VALUE(MID(B3,IF(LEFT(B3,2)="V-",3,5),30)),1)=0,COUNTIFS(Slots!$A$2:$A$31,"E2",Slots!$B$2:$B$31,C3)=1,ISNUMBER(SEARCH("|"&amp;D3&amp;"|","|"&amp;Settings!$B$9&amp;"|")),OR(E3="regular",E3="first"),OR(F3="include",F3="duplicate",F3="late"),OR(H3="yes",H3="no"),OR(I3="success",I3="failed",I3="unknown",I3="not_sent"),OR(K3="yes",K3="no",K3="none",K3="conflict",K3="unknown"),OR(L3="text",L3="emoji",L3="voice",L3="none",L3="unknown"),OR(M3="yes",M3="no",M3="unknown"),OR(N3="yes",N3="no",N3="unknown"),ISNUMBER(O3),OR(O3=0,O3=1),OR(P3="",P3="soft_yes",P3="forgot",P3="time_place",P3="clash",P3="travel",P3="personal",P3="unknown",P3="silent_but_came"),OR(I3&lt;&gt;"success",AND(J3&lt;&gt;"",COUNTIFS($J$2:$J$201,J3,$I$2:$I$201,"success")=1)),OR(I3&lt;&gt;"not_sent",J3=""),IF(F3="duplicate",AND(COUNTIFS($A$2:$A$201,G3,$B$2:$B$201,B3,$C$2:$C$201,C3,$F$2:$F$201,"include")=1,H3="no",I3="not_sent",K3="none",M3="no",N3="no",O3=0),AND(G3="",N3&lt;&gt;"unknown",COUNTIFS($B$2:$B$201,B3,$F$2:$F$201,"&lt;&gt;duplicate")=1)),IF(F3="include",AND(H3="yes",K3&lt;&gt;"conflict",K3&lt;&gt;"unknown",M3&lt;&gt;"unknown",IF(OR(K3="yes",K3="no"),AND(M3="yes",OR(L3="text",L3="emoji",L3="voice")),L3="none")),TRUE),IF(F3="late",AND(H3="no",I3="not_sent",K3="none",L3="none",O3=0),TRUE)),"OK","CHECK"),"CHECK"))</x:f>
      </x:c>
      <x:c r="R3" s="3"/>
    </x:row>
    <x:row r="4" ht="22" customHeight="1">
      <x:c r="A4" s="8"/>
      <x:c r="B4" s="8"/>
      <x:c r="C4" s="8"/>
      <x:c r="D4" s="8"/>
      <x:c r="E4" s="7"/>
      <x:c r="F4" s="7"/>
      <x:c r="G4" s="7"/>
      <x:c r="H4" s="7"/>
      <x:c r="I4" s="7"/>
      <x:c r="J4" s="8"/>
      <x:c r="K4" s="7"/>
      <x:c r="L4" s="7"/>
      <x:c r="M4" s="7"/>
      <x:c r="N4" s="7"/>
      <x:c r="O4" s="7"/>
      <x:c r="P4" s="7"/>
      <x:c r="Q4" s="3" t="str">
        <x:f>IF(COUNTA(A4:P4)=0,"",IFERROR(IF(AND(A4&lt;&gt;"",COUNTIF($A$2:$A$201,A4)=1,OR(LEFT(B4,2)="V-",LEFT(B4,4)="SYN-"),LEN(MID(B4,IF(LEFT(B4,2)="V-",3,5),30))&gt;0,ISNUMBER(VALUE(MID(B4,IF(LEFT(B4,2)="V-",3,5),30))),VALUE(MID(B4,IF(LEFT(B4,2)="V-",3,5),30))&gt;=0,MOD(VALUE(MID(B4,IF(LEFT(B4,2)="V-",3,5),30)),1)=0,COUNTIFS(Slots!$A$2:$A$31,"E2",Slots!$B$2:$B$31,C4)=1,ISNUMBER(SEARCH("|"&amp;D4&amp;"|","|"&amp;Settings!$B$9&amp;"|")),OR(E4="regular",E4="first"),OR(F4="include",F4="duplicate",F4="late"),OR(H4="yes",H4="no"),OR(I4="success",I4="failed",I4="unknown",I4="not_sent"),OR(K4="yes",K4="no",K4="none",K4="conflict",K4="unknown"),OR(L4="text",L4="emoji",L4="voice",L4="none",L4="unknown"),OR(M4="yes",M4="no",M4="unknown"),OR(N4="yes",N4="no",N4="unknown"),ISNUMBER(O4),OR(O4=0,O4=1),OR(P4="",P4="soft_yes",P4="forgot",P4="time_place",P4="clash",P4="travel",P4="personal",P4="unknown",P4="silent_but_came"),OR(I4&lt;&gt;"success",AND(J4&lt;&gt;"",COUNTIFS($J$2:$J$201,J4,$I$2:$I$201,"success")=1)),OR(I4&lt;&gt;"not_sent",J4=""),IF(F4="duplicate",AND(COUNTIFS($A$2:$A$201,G4,$B$2:$B$201,B4,$C$2:$C$201,C4,$F$2:$F$201,"include")=1,H4="no",I4="not_sent",K4="none",M4="no",N4="no",O4=0),AND(G4="",N4&lt;&gt;"unknown",COUNTIFS($B$2:$B$201,B4,$F$2:$F$201,"&lt;&gt;duplicate")=1)),IF(F4="include",AND(H4="yes",K4&lt;&gt;"conflict",K4&lt;&gt;"unknown",M4&lt;&gt;"unknown",IF(OR(K4="yes",K4="no"),AND(M4="yes",OR(L4="text",L4="emoji",L4="voice")),L4="none")),TRUE),IF(F4="late",AND(H4="no",I4="not_sent",K4="none",L4="none",O4=0),TRUE)),"OK","CHECK"),"CHECK"))</x:f>
      </x:c>
      <x:c r="R4" s="3"/>
    </x:row>
    <x:row r="5" ht="22" customHeight="1">
      <x:c r="A5" s="8"/>
      <x:c r="B5" s="8"/>
      <x:c r="C5" s="8"/>
      <x:c r="D5" s="8"/>
      <x:c r="E5" s="7"/>
      <x:c r="F5" s="7"/>
      <x:c r="G5" s="7"/>
      <x:c r="H5" s="7"/>
      <x:c r="I5" s="7"/>
      <x:c r="J5" s="8"/>
      <x:c r="K5" s="7"/>
      <x:c r="L5" s="7"/>
      <x:c r="M5" s="7"/>
      <x:c r="N5" s="7"/>
      <x:c r="O5" s="7"/>
      <x:c r="P5" s="7"/>
      <x:c r="Q5" s="3" t="str">
        <x:f>IF(COUNTA(A5:P5)=0,"",IFERROR(IF(AND(A5&lt;&gt;"",COUNTIF($A$2:$A$201,A5)=1,OR(LEFT(B5,2)="V-",LEFT(B5,4)="SYN-"),LEN(MID(B5,IF(LEFT(B5,2)="V-",3,5),30))&gt;0,ISNUMBER(VALUE(MID(B5,IF(LEFT(B5,2)="V-",3,5),30))),VALUE(MID(B5,IF(LEFT(B5,2)="V-",3,5),30))&gt;=0,MOD(VALUE(MID(B5,IF(LEFT(B5,2)="V-",3,5),30)),1)=0,COUNTIFS(Slots!$A$2:$A$31,"E2",Slots!$B$2:$B$31,C5)=1,ISNUMBER(SEARCH("|"&amp;D5&amp;"|","|"&amp;Settings!$B$9&amp;"|")),OR(E5="regular",E5="first"),OR(F5="include",F5="duplicate",F5="late"),OR(H5="yes",H5="no"),OR(I5="success",I5="failed",I5="unknown",I5="not_sent"),OR(K5="yes",K5="no",K5="none",K5="conflict",K5="unknown"),OR(L5="text",L5="emoji",L5="voice",L5="none",L5="unknown"),OR(M5="yes",M5="no",M5="unknown"),OR(N5="yes",N5="no",N5="unknown"),ISNUMBER(O5),OR(O5=0,O5=1),OR(P5="",P5="soft_yes",P5="forgot",P5="time_place",P5="clash",P5="travel",P5="personal",P5="unknown",P5="silent_but_came"),OR(I5&lt;&gt;"success",AND(J5&lt;&gt;"",COUNTIFS($J$2:$J$201,J5,$I$2:$I$201,"success")=1)),OR(I5&lt;&gt;"not_sent",J5=""),IF(F5="duplicate",AND(COUNTIFS($A$2:$A$201,G5,$B$2:$B$201,B5,$C$2:$C$201,C5,$F$2:$F$201,"include")=1,H5="no",I5="not_sent",K5="none",M5="no",N5="no",O5=0),AND(G5="",N5&lt;&gt;"unknown",COUNTIFS($B$2:$B$201,B5,$F$2:$F$201,"&lt;&gt;duplicate")=1)),IF(F5="include",AND(H5="yes",K5&lt;&gt;"conflict",K5&lt;&gt;"unknown",M5&lt;&gt;"unknown",IF(OR(K5="yes",K5="no"),AND(M5="yes",OR(L5="text",L5="emoji",L5="voice")),L5="none")),TRUE),IF(F5="late",AND(H5="no",I5="not_sent",K5="none",L5="none",O5=0),TRUE)),"OK","CHECK"),"CHECK"))</x:f>
      </x:c>
      <x:c r="R5" s="3"/>
    </x:row>
    <x:row r="6" ht="22" customHeight="1">
      <x:c r="A6" s="8"/>
      <x:c r="B6" s="8"/>
      <x:c r="C6" s="8"/>
      <x:c r="D6" s="8"/>
      <x:c r="E6" s="7"/>
      <x:c r="F6" s="7"/>
      <x:c r="G6" s="7"/>
      <x:c r="H6" s="7"/>
      <x:c r="I6" s="7"/>
      <x:c r="J6" s="8"/>
      <x:c r="K6" s="7"/>
      <x:c r="L6" s="7"/>
      <x:c r="M6" s="7"/>
      <x:c r="N6" s="7"/>
      <x:c r="O6" s="7"/>
      <x:c r="P6" s="7"/>
      <x:c r="Q6" s="3" t="str">
        <x:f>IF(COUNTA(A6:P6)=0,"",IFERROR(IF(AND(A6&lt;&gt;"",COUNTIF($A$2:$A$201,A6)=1,OR(LEFT(B6,2)="V-",LEFT(B6,4)="SYN-"),LEN(MID(B6,IF(LEFT(B6,2)="V-",3,5),30))&gt;0,ISNUMBER(VALUE(MID(B6,IF(LEFT(B6,2)="V-",3,5),30))),VALUE(MID(B6,IF(LEFT(B6,2)="V-",3,5),30))&gt;=0,MOD(VALUE(MID(B6,IF(LEFT(B6,2)="V-",3,5),30)),1)=0,COUNTIFS(Slots!$A$2:$A$31,"E2",Slots!$B$2:$B$31,C6)=1,ISNUMBER(SEARCH("|"&amp;D6&amp;"|","|"&amp;Settings!$B$9&amp;"|")),OR(E6="regular",E6="first"),OR(F6="include",F6="duplicate",F6="late"),OR(H6="yes",H6="no"),OR(I6="success",I6="failed",I6="unknown",I6="not_sent"),OR(K6="yes",K6="no",K6="none",K6="conflict",K6="unknown"),OR(L6="text",L6="emoji",L6="voice",L6="none",L6="unknown"),OR(M6="yes",M6="no",M6="unknown"),OR(N6="yes",N6="no",N6="unknown"),ISNUMBER(O6),OR(O6=0,O6=1),OR(P6="",P6="soft_yes",P6="forgot",P6="time_place",P6="clash",P6="travel",P6="personal",P6="unknown",P6="silent_but_came"),OR(I6&lt;&gt;"success",AND(J6&lt;&gt;"",COUNTIFS($J$2:$J$201,J6,$I$2:$I$201,"success")=1)),OR(I6&lt;&gt;"not_sent",J6=""),IF(F6="duplicate",AND(COUNTIFS($A$2:$A$201,G6,$B$2:$B$201,B6,$C$2:$C$201,C6,$F$2:$F$201,"include")=1,H6="no",I6="not_sent",K6="none",M6="no",N6="no",O6=0),AND(G6="",N6&lt;&gt;"unknown",COUNTIFS($B$2:$B$201,B6,$F$2:$F$201,"&lt;&gt;duplicate")=1)),IF(F6="include",AND(H6="yes",K6&lt;&gt;"conflict",K6&lt;&gt;"unknown",M6&lt;&gt;"unknown",IF(OR(K6="yes",K6="no"),AND(M6="yes",OR(L6="text",L6="emoji",L6="voice")),L6="none")),TRUE),IF(F6="late",AND(H6="no",I6="not_sent",K6="none",L6="none",O6=0),TRUE)),"OK","CHECK"),"CHECK"))</x:f>
      </x:c>
      <x:c r="R6" s="3"/>
    </x:row>
    <x:row r="7" ht="22" customHeight="1">
      <x:c r="A7" s="8"/>
      <x:c r="B7" s="8"/>
      <x:c r="C7" s="8"/>
      <x:c r="D7" s="8"/>
      <x:c r="E7" s="7"/>
      <x:c r="F7" s="7"/>
      <x:c r="G7" s="7"/>
      <x:c r="H7" s="7"/>
      <x:c r="I7" s="7"/>
      <x:c r="J7" s="8"/>
      <x:c r="K7" s="7"/>
      <x:c r="L7" s="7"/>
      <x:c r="M7" s="7"/>
      <x:c r="N7" s="7"/>
      <x:c r="O7" s="7"/>
      <x:c r="P7" s="7"/>
      <x:c r="Q7" s="3" t="str">
        <x:f>IF(COUNTA(A7:P7)=0,"",IFERROR(IF(AND(A7&lt;&gt;"",COUNTIF($A$2:$A$201,A7)=1,OR(LEFT(B7,2)="V-",LEFT(B7,4)="SYN-"),LEN(MID(B7,IF(LEFT(B7,2)="V-",3,5),30))&gt;0,ISNUMBER(VALUE(MID(B7,IF(LEFT(B7,2)="V-",3,5),30))),VALUE(MID(B7,IF(LEFT(B7,2)="V-",3,5),30))&gt;=0,MOD(VALUE(MID(B7,IF(LEFT(B7,2)="V-",3,5),30)),1)=0,COUNTIFS(Slots!$A$2:$A$31,"E2",Slots!$B$2:$B$31,C7)=1,ISNUMBER(SEARCH("|"&amp;D7&amp;"|","|"&amp;Settings!$B$9&amp;"|")),OR(E7="regular",E7="first"),OR(F7="include",F7="duplicate",F7="late"),OR(H7="yes",H7="no"),OR(I7="success",I7="failed",I7="unknown",I7="not_sent"),OR(K7="yes",K7="no",K7="none",K7="conflict",K7="unknown"),OR(L7="text",L7="emoji",L7="voice",L7="none",L7="unknown"),OR(M7="yes",M7="no",M7="unknown"),OR(N7="yes",N7="no",N7="unknown"),ISNUMBER(O7),OR(O7=0,O7=1),OR(P7="",P7="soft_yes",P7="forgot",P7="time_place",P7="clash",P7="travel",P7="personal",P7="unknown",P7="silent_but_came"),OR(I7&lt;&gt;"success",AND(J7&lt;&gt;"",COUNTIFS($J$2:$J$201,J7,$I$2:$I$201,"success")=1)),OR(I7&lt;&gt;"not_sent",J7=""),IF(F7="duplicate",AND(COUNTIFS($A$2:$A$201,G7,$B$2:$B$201,B7,$C$2:$C$201,C7,$F$2:$F$201,"include")=1,H7="no",I7="not_sent",K7="none",M7="no",N7="no",O7=0),AND(G7="",N7&lt;&gt;"unknown",COUNTIFS($B$2:$B$201,B7,$F$2:$F$201,"&lt;&gt;duplicate")=1)),IF(F7="include",AND(H7="yes",K7&lt;&gt;"conflict",K7&lt;&gt;"unknown",M7&lt;&gt;"unknown",IF(OR(K7="yes",K7="no"),AND(M7="yes",OR(L7="text",L7="emoji",L7="voice")),L7="none")),TRUE),IF(F7="late",AND(H7="no",I7="not_sent",K7="none",L7="none",O7=0),TRUE)),"OK","CHECK"),"CHECK"))</x:f>
      </x:c>
      <x:c r="R7" s="3"/>
    </x:row>
    <x:row r="8" ht="22" customHeight="1">
      <x:c r="A8" s="8"/>
      <x:c r="B8" s="8"/>
      <x:c r="C8" s="8"/>
      <x:c r="D8" s="8"/>
      <x:c r="E8" s="7"/>
      <x:c r="F8" s="7"/>
      <x:c r="G8" s="7"/>
      <x:c r="H8" s="7"/>
      <x:c r="I8" s="7"/>
      <x:c r="J8" s="8"/>
      <x:c r="K8" s="7"/>
      <x:c r="L8" s="7"/>
      <x:c r="M8" s="7"/>
      <x:c r="N8" s="7"/>
      <x:c r="O8" s="7"/>
      <x:c r="P8" s="7"/>
      <x:c r="Q8" s="3" t="str">
        <x:f>IF(COUNTA(A8:P8)=0,"",IFERROR(IF(AND(A8&lt;&gt;"",COUNTIF($A$2:$A$201,A8)=1,OR(LEFT(B8,2)="V-",LEFT(B8,4)="SYN-"),LEN(MID(B8,IF(LEFT(B8,2)="V-",3,5),30))&gt;0,ISNUMBER(VALUE(MID(B8,IF(LEFT(B8,2)="V-",3,5),30))),VALUE(MID(B8,IF(LEFT(B8,2)="V-",3,5),30))&gt;=0,MOD(VALUE(MID(B8,IF(LEFT(B8,2)="V-",3,5),30)),1)=0,COUNTIFS(Slots!$A$2:$A$31,"E2",Slots!$B$2:$B$31,C8)=1,ISNUMBER(SEARCH("|"&amp;D8&amp;"|","|"&amp;Settings!$B$9&amp;"|")),OR(E8="regular",E8="first"),OR(F8="include",F8="duplicate",F8="late"),OR(H8="yes",H8="no"),OR(I8="success",I8="failed",I8="unknown",I8="not_sent"),OR(K8="yes",K8="no",K8="none",K8="conflict",K8="unknown"),OR(L8="text",L8="emoji",L8="voice",L8="none",L8="unknown"),OR(M8="yes",M8="no",M8="unknown"),OR(N8="yes",N8="no",N8="unknown"),ISNUMBER(O8),OR(O8=0,O8=1),OR(P8="",P8="soft_yes",P8="forgot",P8="time_place",P8="clash",P8="travel",P8="personal",P8="unknown",P8="silent_but_came"),OR(I8&lt;&gt;"success",AND(J8&lt;&gt;"",COUNTIFS($J$2:$J$201,J8,$I$2:$I$201,"success")=1)),OR(I8&lt;&gt;"not_sent",J8=""),IF(F8="duplicate",AND(COUNTIFS($A$2:$A$201,G8,$B$2:$B$201,B8,$C$2:$C$201,C8,$F$2:$F$201,"include")=1,H8="no",I8="not_sent",K8="none",M8="no",N8="no",O8=0),AND(G8="",N8&lt;&gt;"unknown",COUNTIFS($B$2:$B$201,B8,$F$2:$F$201,"&lt;&gt;duplicate")=1)),IF(F8="include",AND(H8="yes",K8&lt;&gt;"conflict",K8&lt;&gt;"unknown",M8&lt;&gt;"unknown",IF(OR(K8="yes",K8="no"),AND(M8="yes",OR(L8="text",L8="emoji",L8="voice")),L8="none")),TRUE),IF(F8="late",AND(H8="no",I8="not_sent",K8="none",L8="none",O8=0),TRUE)),"OK","CHECK"),"CHECK"))</x:f>
      </x:c>
      <x:c r="R8" s="3"/>
    </x:row>
    <x:row r="9" ht="22" customHeight="1">
      <x:c r="A9" s="8"/>
      <x:c r="B9" s="8"/>
      <x:c r="C9" s="8"/>
      <x:c r="D9" s="8"/>
      <x:c r="E9" s="7"/>
      <x:c r="F9" s="7"/>
      <x:c r="G9" s="7"/>
      <x:c r="H9" s="7"/>
      <x:c r="I9" s="7"/>
      <x:c r="J9" s="8"/>
      <x:c r="K9" s="7"/>
      <x:c r="L9" s="7"/>
      <x:c r="M9" s="7"/>
      <x:c r="N9" s="7"/>
      <x:c r="O9" s="7"/>
      <x:c r="P9" s="7"/>
      <x:c r="Q9" s="3" t="str">
        <x:f>IF(COUNTA(A9:P9)=0,"",IFERROR(IF(AND(A9&lt;&gt;"",COUNTIF($A$2:$A$201,A9)=1,OR(LEFT(B9,2)="V-",LEFT(B9,4)="SYN-"),LEN(MID(B9,IF(LEFT(B9,2)="V-",3,5),30))&gt;0,ISNUMBER(VALUE(MID(B9,IF(LEFT(B9,2)="V-",3,5),30))),VALUE(MID(B9,IF(LEFT(B9,2)="V-",3,5),30))&gt;=0,MOD(VALUE(MID(B9,IF(LEFT(B9,2)="V-",3,5),30)),1)=0,COUNTIFS(Slots!$A$2:$A$31,"E2",Slots!$B$2:$B$31,C9)=1,ISNUMBER(SEARCH("|"&amp;D9&amp;"|","|"&amp;Settings!$B$9&amp;"|")),OR(E9="regular",E9="first"),OR(F9="include",F9="duplicate",F9="late"),OR(H9="yes",H9="no"),OR(I9="success",I9="failed",I9="unknown",I9="not_sent"),OR(K9="yes",K9="no",K9="none",K9="conflict",K9="unknown"),OR(L9="text",L9="emoji",L9="voice",L9="none",L9="unknown"),OR(M9="yes",M9="no",M9="unknown"),OR(N9="yes",N9="no",N9="unknown"),ISNUMBER(O9),OR(O9=0,O9=1),OR(P9="",P9="soft_yes",P9="forgot",P9="time_place",P9="clash",P9="travel",P9="personal",P9="unknown",P9="silent_but_came"),OR(I9&lt;&gt;"success",AND(J9&lt;&gt;"",COUNTIFS($J$2:$J$201,J9,$I$2:$I$201,"success")=1)),OR(I9&lt;&gt;"not_sent",J9=""),IF(F9="duplicate",AND(COUNTIFS($A$2:$A$201,G9,$B$2:$B$201,B9,$C$2:$C$201,C9,$F$2:$F$201,"include")=1,H9="no",I9="not_sent",K9="none",M9="no",N9="no",O9=0),AND(G9="",N9&lt;&gt;"unknown",COUNTIFS($B$2:$B$201,B9,$F$2:$F$201,"&lt;&gt;duplicate")=1)),IF(F9="include",AND(H9="yes",K9&lt;&gt;"conflict",K9&lt;&gt;"unknown",M9&lt;&gt;"unknown",IF(OR(K9="yes",K9="no"),AND(M9="yes",OR(L9="text",L9="emoji",L9="voice")),L9="none")),TRUE),IF(F9="late",AND(H9="no",I9="not_sent",K9="none",L9="none",O9=0),TRUE)),"OK","CHECK"),"CHECK"))</x:f>
      </x:c>
      <x:c r="R9" s="3"/>
    </x:row>
    <x:row r="10" ht="22" customHeight="1">
      <x:c r="A10" s="8"/>
      <x:c r="B10" s="8"/>
      <x:c r="C10" s="8"/>
      <x:c r="D10" s="8"/>
      <x:c r="E10" s="7"/>
      <x:c r="F10" s="7"/>
      <x:c r="G10" s="7"/>
      <x:c r="H10" s="7"/>
      <x:c r="I10" s="7"/>
      <x:c r="J10" s="8"/>
      <x:c r="K10" s="7"/>
      <x:c r="L10" s="7"/>
      <x:c r="M10" s="7"/>
      <x:c r="N10" s="7"/>
      <x:c r="O10" s="7"/>
      <x:c r="P10" s="7"/>
      <x:c r="Q10" s="3" t="str">
        <x:f>IF(COUNTA(A10:P10)=0,"",IFERROR(IF(AND(A10&lt;&gt;"",COUNTIF($A$2:$A$201,A10)=1,OR(LEFT(B10,2)="V-",LEFT(B10,4)="SYN-"),LEN(MID(B10,IF(LEFT(B10,2)="V-",3,5),30))&gt;0,ISNUMBER(VALUE(MID(B10,IF(LEFT(B10,2)="V-",3,5),30))),VALUE(MID(B10,IF(LEFT(B10,2)="V-",3,5),30))&gt;=0,MOD(VALUE(MID(B10,IF(LEFT(B10,2)="V-",3,5),30)),1)=0,COUNTIFS(Slots!$A$2:$A$31,"E2",Slots!$B$2:$B$31,C10)=1,ISNUMBER(SEARCH("|"&amp;D10&amp;"|","|"&amp;Settings!$B$9&amp;"|")),OR(E10="regular",E10="first"),OR(F10="include",F10="duplicate",F10="late"),OR(H10="yes",H10="no"),OR(I10="success",I10="failed",I10="unknown",I10="not_sent"),OR(K10="yes",K10="no",K10="none",K10="conflict",K10="unknown"),OR(L10="text",L10="emoji",L10="voice",L10="none",L10="unknown"),OR(M10="yes",M10="no",M10="unknown"),OR(N10="yes",N10="no",N10="unknown"),ISNUMBER(O10),OR(O10=0,O10=1),OR(P10="",P10="soft_yes",P10="forgot",P10="time_place",P10="clash",P10="travel",P10="personal",P10="unknown",P10="silent_but_came"),OR(I10&lt;&gt;"success",AND(J10&lt;&gt;"",COUNTIFS($J$2:$J$201,J10,$I$2:$I$201,"success")=1)),OR(I10&lt;&gt;"not_sent",J10=""),IF(F10="duplicate",AND(COUNTIFS($A$2:$A$201,G10,$B$2:$B$201,B10,$C$2:$C$201,C10,$F$2:$F$201,"include")=1,H10="no",I10="not_sent",K10="none",M10="no",N10="no",O10=0),AND(G10="",N10&lt;&gt;"unknown",COUNTIFS($B$2:$B$201,B10,$F$2:$F$201,"&lt;&gt;duplicate")=1)),IF(F10="include",AND(H10="yes",K10&lt;&gt;"conflict",K10&lt;&gt;"unknown",M10&lt;&gt;"unknown",IF(OR(K10="yes",K10="no"),AND(M10="yes",OR(L10="text",L10="emoji",L10="voice")),L10="none")),TRUE),IF(F10="late",AND(H10="no",I10="not_sent",K10="none",L10="none",O10=0),TRUE)),"OK","CHECK"),"CHECK"))</x:f>
      </x:c>
      <x:c r="R10" s="3"/>
    </x:row>
    <x:row r="11" ht="22" customHeight="1">
      <x:c r="A11" s="8"/>
      <x:c r="B11" s="8"/>
      <x:c r="C11" s="8"/>
      <x:c r="D11" s="8"/>
      <x:c r="E11" s="7"/>
      <x:c r="F11" s="7"/>
      <x:c r="G11" s="7"/>
      <x:c r="H11" s="7"/>
      <x:c r="I11" s="7"/>
      <x:c r="J11" s="8"/>
      <x:c r="K11" s="7"/>
      <x:c r="L11" s="7"/>
      <x:c r="M11" s="7"/>
      <x:c r="N11" s="7"/>
      <x:c r="O11" s="7"/>
      <x:c r="P11" s="7"/>
      <x:c r="Q11" s="3" t="str">
        <x:f>IF(COUNTA(A11:P11)=0,"",IFERROR(IF(AND(A11&lt;&gt;"",COUNTIF($A$2:$A$201,A11)=1,OR(LEFT(B11,2)="V-",LEFT(B11,4)="SYN-"),LEN(MID(B11,IF(LEFT(B11,2)="V-",3,5),30))&gt;0,ISNUMBER(VALUE(MID(B11,IF(LEFT(B11,2)="V-",3,5),30))),VALUE(MID(B11,IF(LEFT(B11,2)="V-",3,5),30))&gt;=0,MOD(VALUE(MID(B11,IF(LEFT(B11,2)="V-",3,5),30)),1)=0,COUNTIFS(Slots!$A$2:$A$31,"E2",Slots!$B$2:$B$31,C11)=1,ISNUMBER(SEARCH("|"&amp;D11&amp;"|","|"&amp;Settings!$B$9&amp;"|")),OR(E11="regular",E11="first"),OR(F11="include",F11="duplicate",F11="late"),OR(H11="yes",H11="no"),OR(I11="success",I11="failed",I11="unknown",I11="not_sent"),OR(K11="yes",K11="no",K11="none",K11="conflict",K11="unknown"),OR(L11="text",L11="emoji",L11="voice",L11="none",L11="unknown"),OR(M11="yes",M11="no",M11="unknown"),OR(N11="yes",N11="no",N11="unknown"),ISNUMBER(O11),OR(O11=0,O11=1),OR(P11="",P11="soft_yes",P11="forgot",P11="time_place",P11="clash",P11="travel",P11="personal",P11="unknown",P11="silent_but_came"),OR(I11&lt;&gt;"success",AND(J11&lt;&gt;"",COUNTIFS($J$2:$J$201,J11,$I$2:$I$201,"success")=1)),OR(I11&lt;&gt;"not_sent",J11=""),IF(F11="duplicate",AND(COUNTIFS($A$2:$A$201,G11,$B$2:$B$201,B11,$C$2:$C$201,C11,$F$2:$F$201,"include")=1,H11="no",I11="not_sent",K11="none",M11="no",N11="no",O11=0),AND(G11="",N11&lt;&gt;"unknown",COUNTIFS($B$2:$B$201,B11,$F$2:$F$201,"&lt;&gt;duplicate")=1)),IF(F11="include",AND(H11="yes",K11&lt;&gt;"conflict",K11&lt;&gt;"unknown",M11&lt;&gt;"unknown",IF(OR(K11="yes",K11="no"),AND(M11="yes",OR(L11="text",L11="emoji",L11="voice")),L11="none")),TRUE),IF(F11="late",AND(H11="no",I11="not_sent",K11="none",L11="none",O11=0),TRUE)),"OK","CHECK"),"CHECK"))</x:f>
      </x:c>
      <x:c r="R11" s="3"/>
    </x:row>
    <x:row r="12" ht="22" customHeight="1">
      <x:c r="A12" s="8"/>
      <x:c r="B12" s="8"/>
      <x:c r="C12" s="8"/>
      <x:c r="D12" s="8"/>
      <x:c r="E12" s="7"/>
      <x:c r="F12" s="7"/>
      <x:c r="G12" s="7"/>
      <x:c r="H12" s="7"/>
      <x:c r="I12" s="7"/>
      <x:c r="J12" s="8"/>
      <x:c r="K12" s="7"/>
      <x:c r="L12" s="7"/>
      <x:c r="M12" s="7"/>
      <x:c r="N12" s="7"/>
      <x:c r="O12" s="7"/>
      <x:c r="P12" s="7"/>
      <x:c r="Q12" s="3" t="str">
        <x:f>IF(COUNTA(A12:P12)=0,"",IFERROR(IF(AND(A12&lt;&gt;"",COUNTIF($A$2:$A$201,A12)=1,OR(LEFT(B12,2)="V-",LEFT(B12,4)="SYN-"),LEN(MID(B12,IF(LEFT(B12,2)="V-",3,5),30))&gt;0,ISNUMBER(VALUE(MID(B12,IF(LEFT(B12,2)="V-",3,5),30))),VALUE(MID(B12,IF(LEFT(B12,2)="V-",3,5),30))&gt;=0,MOD(VALUE(MID(B12,IF(LEFT(B12,2)="V-",3,5),30)),1)=0,COUNTIFS(Slots!$A$2:$A$31,"E2",Slots!$B$2:$B$31,C12)=1,ISNUMBER(SEARCH("|"&amp;D12&amp;"|","|"&amp;Settings!$B$9&amp;"|")),OR(E12="regular",E12="first"),OR(F12="include",F12="duplicate",F12="late"),OR(H12="yes",H12="no"),OR(I12="success",I12="failed",I12="unknown",I12="not_sent"),OR(K12="yes",K12="no",K12="none",K12="conflict",K12="unknown"),OR(L12="text",L12="emoji",L12="voice",L12="none",L12="unknown"),OR(M12="yes",M12="no",M12="unknown"),OR(N12="yes",N12="no",N12="unknown"),ISNUMBER(O12),OR(O12=0,O12=1),OR(P12="",P12="soft_yes",P12="forgot",P12="time_place",P12="clash",P12="travel",P12="personal",P12="unknown",P12="silent_but_came"),OR(I12&lt;&gt;"success",AND(J12&lt;&gt;"",COUNTIFS($J$2:$J$201,J12,$I$2:$I$201,"success")=1)),OR(I12&lt;&gt;"not_sent",J12=""),IF(F12="duplicate",AND(COUNTIFS($A$2:$A$201,G12,$B$2:$B$201,B12,$C$2:$C$201,C12,$F$2:$F$201,"include")=1,H12="no",I12="not_sent",K12="none",M12="no",N12="no",O12=0),AND(G12="",N12&lt;&gt;"unknown",COUNTIFS($B$2:$B$201,B12,$F$2:$F$201,"&lt;&gt;duplicate")=1)),IF(F12="include",AND(H12="yes",K12&lt;&gt;"conflict",K12&lt;&gt;"unknown",M12&lt;&gt;"unknown",IF(OR(K12="yes",K12="no"),AND(M12="yes",OR(L12="text",L12="emoji",L12="voice")),L12="none")),TRUE),IF(F12="late",AND(H12="no",I12="not_sent",K12="none",L12="none",O12=0),TRUE)),"OK","CHECK"),"CHECK"))</x:f>
      </x:c>
      <x:c r="R12" s="3"/>
    </x:row>
    <x:row r="13" ht="22" customHeight="1">
      <x:c r="A13" s="8"/>
      <x:c r="B13" s="8"/>
      <x:c r="C13" s="8"/>
      <x:c r="D13" s="8"/>
      <x:c r="E13" s="7"/>
      <x:c r="F13" s="7"/>
      <x:c r="G13" s="7"/>
      <x:c r="H13" s="7"/>
      <x:c r="I13" s="7"/>
      <x:c r="J13" s="8"/>
      <x:c r="K13" s="7"/>
      <x:c r="L13" s="7"/>
      <x:c r="M13" s="7"/>
      <x:c r="N13" s="7"/>
      <x:c r="O13" s="7"/>
      <x:c r="P13" s="7"/>
      <x:c r="Q13" s="3" t="str">
        <x:f>IF(COUNTA(A13:P13)=0,"",IFERROR(IF(AND(A13&lt;&gt;"",COUNTIF($A$2:$A$201,A13)=1,OR(LEFT(B13,2)="V-",LEFT(B13,4)="SYN-"),LEN(MID(B13,IF(LEFT(B13,2)="V-",3,5),30))&gt;0,ISNUMBER(VALUE(MID(B13,IF(LEFT(B13,2)="V-",3,5),30))),VALUE(MID(B13,IF(LEFT(B13,2)="V-",3,5),30))&gt;=0,MOD(VALUE(MID(B13,IF(LEFT(B13,2)="V-",3,5),30)),1)=0,COUNTIFS(Slots!$A$2:$A$31,"E2",Slots!$B$2:$B$31,C13)=1,ISNUMBER(SEARCH("|"&amp;D13&amp;"|","|"&amp;Settings!$B$9&amp;"|")),OR(E13="regular",E13="first"),OR(F13="include",F13="duplicate",F13="late"),OR(H13="yes",H13="no"),OR(I13="success",I13="failed",I13="unknown",I13="not_sent"),OR(K13="yes",K13="no",K13="none",K13="conflict",K13="unknown"),OR(L13="text",L13="emoji",L13="voice",L13="none",L13="unknown"),OR(M13="yes",M13="no",M13="unknown"),OR(N13="yes",N13="no",N13="unknown"),ISNUMBER(O13),OR(O13=0,O13=1),OR(P13="",P13="soft_yes",P13="forgot",P13="time_place",P13="clash",P13="travel",P13="personal",P13="unknown",P13="silent_but_came"),OR(I13&lt;&gt;"success",AND(J13&lt;&gt;"",COUNTIFS($J$2:$J$201,J13,$I$2:$I$201,"success")=1)),OR(I13&lt;&gt;"not_sent",J13=""),IF(F13="duplicate",AND(COUNTIFS($A$2:$A$201,G13,$B$2:$B$201,B13,$C$2:$C$201,C13,$F$2:$F$201,"include")=1,H13="no",I13="not_sent",K13="none",M13="no",N13="no",O13=0),AND(G13="",N13&lt;&gt;"unknown",COUNTIFS($B$2:$B$201,B13,$F$2:$F$201,"&lt;&gt;duplicate")=1)),IF(F13="include",AND(H13="yes",K13&lt;&gt;"conflict",K13&lt;&gt;"unknown",M13&lt;&gt;"unknown",IF(OR(K13="yes",K13="no"),AND(M13="yes",OR(L13="text",L13="emoji",L13="voice")),L13="none")),TRUE),IF(F13="late",AND(H13="no",I13="not_sent",K13="none",L13="none",O13=0),TRUE)),"OK","CHECK"),"CHECK"))</x:f>
      </x:c>
      <x:c r="R13" s="3"/>
    </x:row>
    <x:row r="14" ht="22" customHeight="1">
      <x:c r="A14" s="8"/>
      <x:c r="B14" s="8"/>
      <x:c r="C14" s="8"/>
      <x:c r="D14" s="8"/>
      <x:c r="E14" s="7"/>
      <x:c r="F14" s="7"/>
      <x:c r="G14" s="7"/>
      <x:c r="H14" s="7"/>
      <x:c r="I14" s="7"/>
      <x:c r="J14" s="8"/>
      <x:c r="K14" s="7"/>
      <x:c r="L14" s="7"/>
      <x:c r="M14" s="7"/>
      <x:c r="N14" s="7"/>
      <x:c r="O14" s="7"/>
      <x:c r="P14" s="7"/>
      <x:c r="Q14" s="3" t="str">
        <x:f>IF(COUNTA(A14:P14)=0,"",IFERROR(IF(AND(A14&lt;&gt;"",COUNTIF($A$2:$A$201,A14)=1,OR(LEFT(B14,2)="V-",LEFT(B14,4)="SYN-"),LEN(MID(B14,IF(LEFT(B14,2)="V-",3,5),30))&gt;0,ISNUMBER(VALUE(MID(B14,IF(LEFT(B14,2)="V-",3,5),30))),VALUE(MID(B14,IF(LEFT(B14,2)="V-",3,5),30))&gt;=0,MOD(VALUE(MID(B14,IF(LEFT(B14,2)="V-",3,5),30)),1)=0,COUNTIFS(Slots!$A$2:$A$31,"E2",Slots!$B$2:$B$31,C14)=1,ISNUMBER(SEARCH("|"&amp;D14&amp;"|","|"&amp;Settings!$B$9&amp;"|")),OR(E14="regular",E14="first"),OR(F14="include",F14="duplicate",F14="late"),OR(H14="yes",H14="no"),OR(I14="success",I14="failed",I14="unknown",I14="not_sent"),OR(K14="yes",K14="no",K14="none",K14="conflict",K14="unknown"),OR(L14="text",L14="emoji",L14="voice",L14="none",L14="unknown"),OR(M14="yes",M14="no",M14="unknown"),OR(N14="yes",N14="no",N14="unknown"),ISNUMBER(O14),OR(O14=0,O14=1),OR(P14="",P14="soft_yes",P14="forgot",P14="time_place",P14="clash",P14="travel",P14="personal",P14="unknown",P14="silent_but_came"),OR(I14&lt;&gt;"success",AND(J14&lt;&gt;"",COUNTIFS($J$2:$J$201,J14,$I$2:$I$201,"success")=1)),OR(I14&lt;&gt;"not_sent",J14=""),IF(F14="duplicate",AND(COUNTIFS($A$2:$A$201,G14,$B$2:$B$201,B14,$C$2:$C$201,C14,$F$2:$F$201,"include")=1,H14="no",I14="not_sent",K14="none",M14="no",N14="no",O14=0),AND(G14="",N14&lt;&gt;"unknown",COUNTIFS($B$2:$B$201,B14,$F$2:$F$201,"&lt;&gt;duplicate")=1)),IF(F14="include",AND(H14="yes",K14&lt;&gt;"conflict",K14&lt;&gt;"unknown",M14&lt;&gt;"unknown",IF(OR(K14="yes",K14="no"),AND(M14="yes",OR(L14="text",L14="emoji",L14="voice")),L14="none")),TRUE),IF(F14="late",AND(H14="no",I14="not_sent",K14="none",L14="none",O14=0),TRUE)),"OK","CHECK"),"CHECK"))</x:f>
      </x:c>
      <x:c r="R14" s="3"/>
    </x:row>
    <x:row r="15" ht="22" customHeight="1">
      <x:c r="A15" s="8"/>
      <x:c r="B15" s="8"/>
      <x:c r="C15" s="8"/>
      <x:c r="D15" s="8"/>
      <x:c r="E15" s="7"/>
      <x:c r="F15" s="7"/>
      <x:c r="G15" s="7"/>
      <x:c r="H15" s="7"/>
      <x:c r="I15" s="7"/>
      <x:c r="J15" s="8"/>
      <x:c r="K15" s="7"/>
      <x:c r="L15" s="7"/>
      <x:c r="M15" s="7"/>
      <x:c r="N15" s="7"/>
      <x:c r="O15" s="7"/>
      <x:c r="P15" s="7"/>
      <x:c r="Q15" s="3" t="str">
        <x:f>IF(COUNTA(A15:P15)=0,"",IFERROR(IF(AND(A15&lt;&gt;"",COUNTIF($A$2:$A$201,A15)=1,OR(LEFT(B15,2)="V-",LEFT(B15,4)="SYN-"),LEN(MID(B15,IF(LEFT(B15,2)="V-",3,5),30))&gt;0,ISNUMBER(VALUE(MID(B15,IF(LEFT(B15,2)="V-",3,5),30))),VALUE(MID(B15,IF(LEFT(B15,2)="V-",3,5),30))&gt;=0,MOD(VALUE(MID(B15,IF(LEFT(B15,2)="V-",3,5),30)),1)=0,COUNTIFS(Slots!$A$2:$A$31,"E2",Slots!$B$2:$B$31,C15)=1,ISNUMBER(SEARCH("|"&amp;D15&amp;"|","|"&amp;Settings!$B$9&amp;"|")),OR(E15="regular",E15="first"),OR(F15="include",F15="duplicate",F15="late"),OR(H15="yes",H15="no"),OR(I15="success",I15="failed",I15="unknown",I15="not_sent"),OR(K15="yes",K15="no",K15="none",K15="conflict",K15="unknown"),OR(L15="text",L15="emoji",L15="voice",L15="none",L15="unknown"),OR(M15="yes",M15="no",M15="unknown"),OR(N15="yes",N15="no",N15="unknown"),ISNUMBER(O15),OR(O15=0,O15=1),OR(P15="",P15="soft_yes",P15="forgot",P15="time_place",P15="clash",P15="travel",P15="personal",P15="unknown",P15="silent_but_came"),OR(I15&lt;&gt;"success",AND(J15&lt;&gt;"",COUNTIFS($J$2:$J$201,J15,$I$2:$I$201,"success")=1)),OR(I15&lt;&gt;"not_sent",J15=""),IF(F15="duplicate",AND(COUNTIFS($A$2:$A$201,G15,$B$2:$B$201,B15,$C$2:$C$201,C15,$F$2:$F$201,"include")=1,H15="no",I15="not_sent",K15="none",M15="no",N15="no",O15=0),AND(G15="",N15&lt;&gt;"unknown",COUNTIFS($B$2:$B$201,B15,$F$2:$F$201,"&lt;&gt;duplicate")=1)),IF(F15="include",AND(H15="yes",K15&lt;&gt;"conflict",K15&lt;&gt;"unknown",M15&lt;&gt;"unknown",IF(OR(K15="yes",K15="no"),AND(M15="yes",OR(L15="text",L15="emoji",L15="voice")),L15="none")),TRUE),IF(F15="late",AND(H15="no",I15="not_sent",K15="none",L15="none",O15=0),TRUE)),"OK","CHECK"),"CHECK"))</x:f>
      </x:c>
      <x:c r="R15" s="3"/>
    </x:row>
    <x:row r="16" ht="22" customHeight="1">
      <x:c r="A16" s="8"/>
      <x:c r="B16" s="8"/>
      <x:c r="C16" s="8"/>
      <x:c r="D16" s="8"/>
      <x:c r="E16" s="7"/>
      <x:c r="F16" s="7"/>
      <x:c r="G16" s="7"/>
      <x:c r="H16" s="7"/>
      <x:c r="I16" s="7"/>
      <x:c r="J16" s="8"/>
      <x:c r="K16" s="7"/>
      <x:c r="L16" s="7"/>
      <x:c r="M16" s="7"/>
      <x:c r="N16" s="7"/>
      <x:c r="O16" s="7"/>
      <x:c r="P16" s="7"/>
      <x:c r="Q16" s="3" t="str">
        <x:f>IF(COUNTA(A16:P16)=0,"",IFERROR(IF(AND(A16&lt;&gt;"",COUNTIF($A$2:$A$201,A16)=1,OR(LEFT(B16,2)="V-",LEFT(B16,4)="SYN-"),LEN(MID(B16,IF(LEFT(B16,2)="V-",3,5),30))&gt;0,ISNUMBER(VALUE(MID(B16,IF(LEFT(B16,2)="V-",3,5),30))),VALUE(MID(B16,IF(LEFT(B16,2)="V-",3,5),30))&gt;=0,MOD(VALUE(MID(B16,IF(LEFT(B16,2)="V-",3,5),30)),1)=0,COUNTIFS(Slots!$A$2:$A$31,"E2",Slots!$B$2:$B$31,C16)=1,ISNUMBER(SEARCH("|"&amp;D16&amp;"|","|"&amp;Settings!$B$9&amp;"|")),OR(E16="regular",E16="first"),OR(F16="include",F16="duplicate",F16="late"),OR(H16="yes",H16="no"),OR(I16="success",I16="failed",I16="unknown",I16="not_sent"),OR(K16="yes",K16="no",K16="none",K16="conflict",K16="unknown"),OR(L16="text",L16="emoji",L16="voice",L16="none",L16="unknown"),OR(M16="yes",M16="no",M16="unknown"),OR(N16="yes",N16="no",N16="unknown"),ISNUMBER(O16),OR(O16=0,O16=1),OR(P16="",P16="soft_yes",P16="forgot",P16="time_place",P16="clash",P16="travel",P16="personal",P16="unknown",P16="silent_but_came"),OR(I16&lt;&gt;"success",AND(J16&lt;&gt;"",COUNTIFS($J$2:$J$201,J16,$I$2:$I$201,"success")=1)),OR(I16&lt;&gt;"not_sent",J16=""),IF(F16="duplicate",AND(COUNTIFS($A$2:$A$201,G16,$B$2:$B$201,B16,$C$2:$C$201,C16,$F$2:$F$201,"include")=1,H16="no",I16="not_sent",K16="none",M16="no",N16="no",O16=0),AND(G16="",N16&lt;&gt;"unknown",COUNTIFS($B$2:$B$201,B16,$F$2:$F$201,"&lt;&gt;duplicate")=1)),IF(F16="include",AND(H16="yes",K16&lt;&gt;"conflict",K16&lt;&gt;"unknown",M16&lt;&gt;"unknown",IF(OR(K16="yes",K16="no"),AND(M16="yes",OR(L16="text",L16="emoji",L16="voice")),L16="none")),TRUE),IF(F16="late",AND(H16="no",I16="not_sent",K16="none",L16="none",O16=0),TRUE)),"OK","CHECK"),"CHECK"))</x:f>
      </x:c>
      <x:c r="R16" s="3"/>
    </x:row>
    <x:row r="17" ht="22" customHeight="1">
      <x:c r="A17" s="8"/>
      <x:c r="B17" s="8"/>
      <x:c r="C17" s="8"/>
      <x:c r="D17" s="8"/>
      <x:c r="E17" s="7"/>
      <x:c r="F17" s="7"/>
      <x:c r="G17" s="7"/>
      <x:c r="H17" s="7"/>
      <x:c r="I17" s="7"/>
      <x:c r="J17" s="8"/>
      <x:c r="K17" s="7"/>
      <x:c r="L17" s="7"/>
      <x:c r="M17" s="7"/>
      <x:c r="N17" s="7"/>
      <x:c r="O17" s="7"/>
      <x:c r="P17" s="7"/>
      <x:c r="Q17" s="3" t="str">
        <x:f>IF(COUNTA(A17:P17)=0,"",IFERROR(IF(AND(A17&lt;&gt;"",COUNTIF($A$2:$A$201,A17)=1,OR(LEFT(B17,2)="V-",LEFT(B17,4)="SYN-"),LEN(MID(B17,IF(LEFT(B17,2)="V-",3,5),30))&gt;0,ISNUMBER(VALUE(MID(B17,IF(LEFT(B17,2)="V-",3,5),30))),VALUE(MID(B17,IF(LEFT(B17,2)="V-",3,5),30))&gt;=0,MOD(VALUE(MID(B17,IF(LEFT(B17,2)="V-",3,5),30)),1)=0,COUNTIFS(Slots!$A$2:$A$31,"E2",Slots!$B$2:$B$31,C17)=1,ISNUMBER(SEARCH("|"&amp;D17&amp;"|","|"&amp;Settings!$B$9&amp;"|")),OR(E17="regular",E17="first"),OR(F17="include",F17="duplicate",F17="late"),OR(H17="yes",H17="no"),OR(I17="success",I17="failed",I17="unknown",I17="not_sent"),OR(K17="yes",K17="no",K17="none",K17="conflict",K17="unknown"),OR(L17="text",L17="emoji",L17="voice",L17="none",L17="unknown"),OR(M17="yes",M17="no",M17="unknown"),OR(N17="yes",N17="no",N17="unknown"),ISNUMBER(O17),OR(O17=0,O17=1),OR(P17="",P17="soft_yes",P17="forgot",P17="time_place",P17="clash",P17="travel",P17="personal",P17="unknown",P17="silent_but_came"),OR(I17&lt;&gt;"success",AND(J17&lt;&gt;"",COUNTIFS($J$2:$J$201,J17,$I$2:$I$201,"success")=1)),OR(I17&lt;&gt;"not_sent",J17=""),IF(F17="duplicate",AND(COUNTIFS($A$2:$A$201,G17,$B$2:$B$201,B17,$C$2:$C$201,C17,$F$2:$F$201,"include")=1,H17="no",I17="not_sent",K17="none",M17="no",N17="no",O17=0),AND(G17="",N17&lt;&gt;"unknown",COUNTIFS($B$2:$B$201,B17,$F$2:$F$201,"&lt;&gt;duplicate")=1)),IF(F17="include",AND(H17="yes",K17&lt;&gt;"conflict",K17&lt;&gt;"unknown",M17&lt;&gt;"unknown",IF(OR(K17="yes",K17="no"),AND(M17="yes",OR(L17="text",L17="emoji",L17="voice")),L17="none")),TRUE),IF(F17="late",AND(H17="no",I17="not_sent",K17="none",L17="none",O17=0),TRUE)),"OK","CHECK"),"CHECK"))</x:f>
      </x:c>
      <x:c r="R17" s="3"/>
    </x:row>
    <x:row r="18" ht="22" customHeight="1">
      <x:c r="A18" s="8"/>
      <x:c r="B18" s="8"/>
      <x:c r="C18" s="8"/>
      <x:c r="D18" s="8"/>
      <x:c r="E18" s="7"/>
      <x:c r="F18" s="7"/>
      <x:c r="G18" s="7"/>
      <x:c r="H18" s="7"/>
      <x:c r="I18" s="7"/>
      <x:c r="J18" s="8"/>
      <x:c r="K18" s="7"/>
      <x:c r="L18" s="7"/>
      <x:c r="M18" s="7"/>
      <x:c r="N18" s="7"/>
      <x:c r="O18" s="7"/>
      <x:c r="P18" s="7"/>
      <x:c r="Q18" s="3" t="str">
        <x:f>IF(COUNTA(A18:P18)=0,"",IFERROR(IF(AND(A18&lt;&gt;"",COUNTIF($A$2:$A$201,A18)=1,OR(LEFT(B18,2)="V-",LEFT(B18,4)="SYN-"),LEN(MID(B18,IF(LEFT(B18,2)="V-",3,5),30))&gt;0,ISNUMBER(VALUE(MID(B18,IF(LEFT(B18,2)="V-",3,5),30))),VALUE(MID(B18,IF(LEFT(B18,2)="V-",3,5),30))&gt;=0,MOD(VALUE(MID(B18,IF(LEFT(B18,2)="V-",3,5),30)),1)=0,COUNTIFS(Slots!$A$2:$A$31,"E2",Slots!$B$2:$B$31,C18)=1,ISNUMBER(SEARCH("|"&amp;D18&amp;"|","|"&amp;Settings!$B$9&amp;"|")),OR(E18="regular",E18="first"),OR(F18="include",F18="duplicate",F18="late"),OR(H18="yes",H18="no"),OR(I18="success",I18="failed",I18="unknown",I18="not_sent"),OR(K18="yes",K18="no",K18="none",K18="conflict",K18="unknown"),OR(L18="text",L18="emoji",L18="voice",L18="none",L18="unknown"),OR(M18="yes",M18="no",M18="unknown"),OR(N18="yes",N18="no",N18="unknown"),ISNUMBER(O18),OR(O18=0,O18=1),OR(P18="",P18="soft_yes",P18="forgot",P18="time_place",P18="clash",P18="travel",P18="personal",P18="unknown",P18="silent_but_came"),OR(I18&lt;&gt;"success",AND(J18&lt;&gt;"",COUNTIFS($J$2:$J$201,J18,$I$2:$I$201,"success")=1)),OR(I18&lt;&gt;"not_sent",J18=""),IF(F18="duplicate",AND(COUNTIFS($A$2:$A$201,G18,$B$2:$B$201,B18,$C$2:$C$201,C18,$F$2:$F$201,"include")=1,H18="no",I18="not_sent",K18="none",M18="no",N18="no",O18=0),AND(G18="",N18&lt;&gt;"unknown",COUNTIFS($B$2:$B$201,B18,$F$2:$F$201,"&lt;&gt;duplicate")=1)),IF(F18="include",AND(H18="yes",K18&lt;&gt;"conflict",K18&lt;&gt;"unknown",M18&lt;&gt;"unknown",IF(OR(K18="yes",K18="no"),AND(M18="yes",OR(L18="text",L18="emoji",L18="voice")),L18="none")),TRUE),IF(F18="late",AND(H18="no",I18="not_sent",K18="none",L18="none",O18=0),TRUE)),"OK","CHECK"),"CHECK"))</x:f>
      </x:c>
      <x:c r="R18" s="3"/>
    </x:row>
    <x:row r="19" ht="22" customHeight="1">
      <x:c r="A19" s="8"/>
      <x:c r="B19" s="8"/>
      <x:c r="C19" s="8"/>
      <x:c r="D19" s="8"/>
      <x:c r="E19" s="7"/>
      <x:c r="F19" s="7"/>
      <x:c r="G19" s="7"/>
      <x:c r="H19" s="7"/>
      <x:c r="I19" s="7"/>
      <x:c r="J19" s="8"/>
      <x:c r="K19" s="7"/>
      <x:c r="L19" s="7"/>
      <x:c r="M19" s="7"/>
      <x:c r="N19" s="7"/>
      <x:c r="O19" s="7"/>
      <x:c r="P19" s="7"/>
      <x:c r="Q19" s="3" t="str">
        <x:f>IF(COUNTA(A19:P19)=0,"",IFERROR(IF(AND(A19&lt;&gt;"",COUNTIF($A$2:$A$201,A19)=1,OR(LEFT(B19,2)="V-",LEFT(B19,4)="SYN-"),LEN(MID(B19,IF(LEFT(B19,2)="V-",3,5),30))&gt;0,ISNUMBER(VALUE(MID(B19,IF(LEFT(B19,2)="V-",3,5),30))),VALUE(MID(B19,IF(LEFT(B19,2)="V-",3,5),30))&gt;=0,MOD(VALUE(MID(B19,IF(LEFT(B19,2)="V-",3,5),30)),1)=0,COUNTIFS(Slots!$A$2:$A$31,"E2",Slots!$B$2:$B$31,C19)=1,ISNUMBER(SEARCH("|"&amp;D19&amp;"|","|"&amp;Settings!$B$9&amp;"|")),OR(E19="regular",E19="first"),OR(F19="include",F19="duplicate",F19="late"),OR(H19="yes",H19="no"),OR(I19="success",I19="failed",I19="unknown",I19="not_sent"),OR(K19="yes",K19="no",K19="none",K19="conflict",K19="unknown"),OR(L19="text",L19="emoji",L19="voice",L19="none",L19="unknown"),OR(M19="yes",M19="no",M19="unknown"),OR(N19="yes",N19="no",N19="unknown"),ISNUMBER(O19),OR(O19=0,O19=1),OR(P19="",P19="soft_yes",P19="forgot",P19="time_place",P19="clash",P19="travel",P19="personal",P19="unknown",P19="silent_but_came"),OR(I19&lt;&gt;"success",AND(J19&lt;&gt;"",COUNTIFS($J$2:$J$201,J19,$I$2:$I$201,"success")=1)),OR(I19&lt;&gt;"not_sent",J19=""),IF(F19="duplicate",AND(COUNTIFS($A$2:$A$201,G19,$B$2:$B$201,B19,$C$2:$C$201,C19,$F$2:$F$201,"include")=1,H19="no",I19="not_sent",K19="none",M19="no",N19="no",O19=0),AND(G19="",N19&lt;&gt;"unknown",COUNTIFS($B$2:$B$201,B19,$F$2:$F$201,"&lt;&gt;duplicate")=1)),IF(F19="include",AND(H19="yes",K19&lt;&gt;"conflict",K19&lt;&gt;"unknown",M19&lt;&gt;"unknown",IF(OR(K19="yes",K19="no"),AND(M19="yes",OR(L19="text",L19="emoji",L19="voice")),L19="none")),TRUE),IF(F19="late",AND(H19="no",I19="not_sent",K19="none",L19="none",O19=0),TRUE)),"OK","CHECK"),"CHECK"))</x:f>
      </x:c>
      <x:c r="R19" s="3"/>
    </x:row>
    <x:row r="20" ht="22" customHeight="1">
      <x:c r="A20" s="8"/>
      <x:c r="B20" s="8"/>
      <x:c r="C20" s="8"/>
      <x:c r="D20" s="8"/>
      <x:c r="E20" s="7"/>
      <x:c r="F20" s="7"/>
      <x:c r="G20" s="7"/>
      <x:c r="H20" s="7"/>
      <x:c r="I20" s="7"/>
      <x:c r="J20" s="8"/>
      <x:c r="K20" s="7"/>
      <x:c r="L20" s="7"/>
      <x:c r="M20" s="7"/>
      <x:c r="N20" s="7"/>
      <x:c r="O20" s="7"/>
      <x:c r="P20" s="7"/>
      <x:c r="Q20" s="3" t="str">
        <x:f>IF(COUNTA(A20:P20)=0,"",IFERROR(IF(AND(A20&lt;&gt;"",COUNTIF($A$2:$A$201,A20)=1,OR(LEFT(B20,2)="V-",LEFT(B20,4)="SYN-"),LEN(MID(B20,IF(LEFT(B20,2)="V-",3,5),30))&gt;0,ISNUMBER(VALUE(MID(B20,IF(LEFT(B20,2)="V-",3,5),30))),VALUE(MID(B20,IF(LEFT(B20,2)="V-",3,5),30))&gt;=0,MOD(VALUE(MID(B20,IF(LEFT(B20,2)="V-",3,5),30)),1)=0,COUNTIFS(Slots!$A$2:$A$31,"E2",Slots!$B$2:$B$31,C20)=1,ISNUMBER(SEARCH("|"&amp;D20&amp;"|","|"&amp;Settings!$B$9&amp;"|")),OR(E20="regular",E20="first"),OR(F20="include",F20="duplicate",F20="late"),OR(H20="yes",H20="no"),OR(I20="success",I20="failed",I20="unknown",I20="not_sent"),OR(K20="yes",K20="no",K20="none",K20="conflict",K20="unknown"),OR(L20="text",L20="emoji",L20="voice",L20="none",L20="unknown"),OR(M20="yes",M20="no",M20="unknown"),OR(N20="yes",N20="no",N20="unknown"),ISNUMBER(O20),OR(O20=0,O20=1),OR(P20="",P20="soft_yes",P20="forgot",P20="time_place",P20="clash",P20="travel",P20="personal",P20="unknown",P20="silent_but_came"),OR(I20&lt;&gt;"success",AND(J20&lt;&gt;"",COUNTIFS($J$2:$J$201,J20,$I$2:$I$201,"success")=1)),OR(I20&lt;&gt;"not_sent",J20=""),IF(F20="duplicate",AND(COUNTIFS($A$2:$A$201,G20,$B$2:$B$201,B20,$C$2:$C$201,C20,$F$2:$F$201,"include")=1,H20="no",I20="not_sent",K20="none",M20="no",N20="no",O20=0),AND(G20="",N20&lt;&gt;"unknown",COUNTIFS($B$2:$B$201,B20,$F$2:$F$201,"&lt;&gt;duplicate")=1)),IF(F20="include",AND(H20="yes",K20&lt;&gt;"conflict",K20&lt;&gt;"unknown",M20&lt;&gt;"unknown",IF(OR(K20="yes",K20="no"),AND(M20="yes",OR(L20="text",L20="emoji",L20="voice")),L20="none")),TRUE),IF(F20="late",AND(H20="no",I20="not_sent",K20="none",L20="none",O20=0),TRUE)),"OK","CHECK"),"CHECK"))</x:f>
      </x:c>
      <x:c r="R20" s="3"/>
    </x:row>
    <x:row r="21" ht="22" customHeight="1">
      <x:c r="A21" s="8"/>
      <x:c r="B21" s="8"/>
      <x:c r="C21" s="8"/>
      <x:c r="D21" s="8"/>
      <x:c r="E21" s="7"/>
      <x:c r="F21" s="7"/>
      <x:c r="G21" s="7"/>
      <x:c r="H21" s="7"/>
      <x:c r="I21" s="7"/>
      <x:c r="J21" s="8"/>
      <x:c r="K21" s="7"/>
      <x:c r="L21" s="7"/>
      <x:c r="M21" s="7"/>
      <x:c r="N21" s="7"/>
      <x:c r="O21" s="7"/>
      <x:c r="P21" s="7"/>
      <x:c r="Q21" s="3" t="str">
        <x:f>IF(COUNTA(A21:P21)=0,"",IFERROR(IF(AND(A21&lt;&gt;"",COUNTIF($A$2:$A$201,A21)=1,OR(LEFT(B21,2)="V-",LEFT(B21,4)="SYN-"),LEN(MID(B21,IF(LEFT(B21,2)="V-",3,5),30))&gt;0,ISNUMBER(VALUE(MID(B21,IF(LEFT(B21,2)="V-",3,5),30))),VALUE(MID(B21,IF(LEFT(B21,2)="V-",3,5),30))&gt;=0,MOD(VALUE(MID(B21,IF(LEFT(B21,2)="V-",3,5),30)),1)=0,COUNTIFS(Slots!$A$2:$A$31,"E2",Slots!$B$2:$B$31,C21)=1,ISNUMBER(SEARCH("|"&amp;D21&amp;"|","|"&amp;Settings!$B$9&amp;"|")),OR(E21="regular",E21="first"),OR(F21="include",F21="duplicate",F21="late"),OR(H21="yes",H21="no"),OR(I21="success",I21="failed",I21="unknown",I21="not_sent"),OR(K21="yes",K21="no",K21="none",K21="conflict",K21="unknown"),OR(L21="text",L21="emoji",L21="voice",L21="none",L21="unknown"),OR(M21="yes",M21="no",M21="unknown"),OR(N21="yes",N21="no",N21="unknown"),ISNUMBER(O21),OR(O21=0,O21=1),OR(P21="",P21="soft_yes",P21="forgot",P21="time_place",P21="clash",P21="travel",P21="personal",P21="unknown",P21="silent_but_came"),OR(I21&lt;&gt;"success",AND(J21&lt;&gt;"",COUNTIFS($J$2:$J$201,J21,$I$2:$I$201,"success")=1)),OR(I21&lt;&gt;"not_sent",J21=""),IF(F21="duplicate",AND(COUNTIFS($A$2:$A$201,G21,$B$2:$B$201,B21,$C$2:$C$201,C21,$F$2:$F$201,"include")=1,H21="no",I21="not_sent",K21="none",M21="no",N21="no",O21=0),AND(G21="",N21&lt;&gt;"unknown",COUNTIFS($B$2:$B$201,B21,$F$2:$F$201,"&lt;&gt;duplicate")=1)),IF(F21="include",AND(H21="yes",K21&lt;&gt;"conflict",K21&lt;&gt;"unknown",M21&lt;&gt;"unknown",IF(OR(K21="yes",K21="no"),AND(M21="yes",OR(L21="text",L21="emoji",L21="voice")),L21="none")),TRUE),IF(F21="late",AND(H21="no",I21="not_sent",K21="none",L21="none",O21=0),TRUE)),"OK","CHECK"),"CHECK"))</x:f>
      </x:c>
      <x:c r="R21" s="3"/>
    </x:row>
    <x:row r="22" ht="22" customHeight="1">
      <x:c r="A22" s="8"/>
      <x:c r="B22" s="8"/>
      <x:c r="C22" s="8"/>
      <x:c r="D22" s="8"/>
      <x:c r="E22" s="7"/>
      <x:c r="F22" s="7"/>
      <x:c r="G22" s="7"/>
      <x:c r="H22" s="7"/>
      <x:c r="I22" s="7"/>
      <x:c r="J22" s="8"/>
      <x:c r="K22" s="7"/>
      <x:c r="L22" s="7"/>
      <x:c r="M22" s="7"/>
      <x:c r="N22" s="7"/>
      <x:c r="O22" s="7"/>
      <x:c r="P22" s="7"/>
      <x:c r="Q22" s="3" t="str">
        <x:f>IF(COUNTA(A22:P22)=0,"",IFERROR(IF(AND(A22&lt;&gt;"",COUNTIF($A$2:$A$201,A22)=1,OR(LEFT(B22,2)="V-",LEFT(B22,4)="SYN-"),LEN(MID(B22,IF(LEFT(B22,2)="V-",3,5),30))&gt;0,ISNUMBER(VALUE(MID(B22,IF(LEFT(B22,2)="V-",3,5),30))),VALUE(MID(B22,IF(LEFT(B22,2)="V-",3,5),30))&gt;=0,MOD(VALUE(MID(B22,IF(LEFT(B22,2)="V-",3,5),30)),1)=0,COUNTIFS(Slots!$A$2:$A$31,"E2",Slots!$B$2:$B$31,C22)=1,ISNUMBER(SEARCH("|"&amp;D22&amp;"|","|"&amp;Settings!$B$9&amp;"|")),OR(E22="regular",E22="first"),OR(F22="include",F22="duplicate",F22="late"),OR(H22="yes",H22="no"),OR(I22="success",I22="failed",I22="unknown",I22="not_sent"),OR(K22="yes",K22="no",K22="none",K22="conflict",K22="unknown"),OR(L22="text",L22="emoji",L22="voice",L22="none",L22="unknown"),OR(M22="yes",M22="no",M22="unknown"),OR(N22="yes",N22="no",N22="unknown"),ISNUMBER(O22),OR(O22=0,O22=1),OR(P22="",P22="soft_yes",P22="forgot",P22="time_place",P22="clash",P22="travel",P22="personal",P22="unknown",P22="silent_but_came"),OR(I22&lt;&gt;"success",AND(J22&lt;&gt;"",COUNTIFS($J$2:$J$201,J22,$I$2:$I$201,"success")=1)),OR(I22&lt;&gt;"not_sent",J22=""),IF(F22="duplicate",AND(COUNTIFS($A$2:$A$201,G22,$B$2:$B$201,B22,$C$2:$C$201,C22,$F$2:$F$201,"include")=1,H22="no",I22="not_sent",K22="none",M22="no",N22="no",O22=0),AND(G22="",N22&lt;&gt;"unknown",COUNTIFS($B$2:$B$201,B22,$F$2:$F$201,"&lt;&gt;duplicate")=1)),IF(F22="include",AND(H22="yes",K22&lt;&gt;"conflict",K22&lt;&gt;"unknown",M22&lt;&gt;"unknown",IF(OR(K22="yes",K22="no"),AND(M22="yes",OR(L22="text",L22="emoji",L22="voice")),L22="none")),TRUE),IF(F22="late",AND(H22="no",I22="not_sent",K22="none",L22="none",O22=0),TRUE)),"OK","CHECK"),"CHECK"))</x:f>
      </x:c>
      <x:c r="R22" s="3"/>
    </x:row>
    <x:row r="23" ht="22" customHeight="1">
      <x:c r="A23" s="8"/>
      <x:c r="B23" s="8"/>
      <x:c r="C23" s="8"/>
      <x:c r="D23" s="8"/>
      <x:c r="E23" s="7"/>
      <x:c r="F23" s="7"/>
      <x:c r="G23" s="7"/>
      <x:c r="H23" s="7"/>
      <x:c r="I23" s="7"/>
      <x:c r="J23" s="8"/>
      <x:c r="K23" s="7"/>
      <x:c r="L23" s="7"/>
      <x:c r="M23" s="7"/>
      <x:c r="N23" s="7"/>
      <x:c r="O23" s="7"/>
      <x:c r="P23" s="7"/>
      <x:c r="Q23" s="3" t="str">
        <x:f>IF(COUNTA(A23:P23)=0,"",IFERROR(IF(AND(A23&lt;&gt;"",COUNTIF($A$2:$A$201,A23)=1,OR(LEFT(B23,2)="V-",LEFT(B23,4)="SYN-"),LEN(MID(B23,IF(LEFT(B23,2)="V-",3,5),30))&gt;0,ISNUMBER(VALUE(MID(B23,IF(LEFT(B23,2)="V-",3,5),30))),VALUE(MID(B23,IF(LEFT(B23,2)="V-",3,5),30))&gt;=0,MOD(VALUE(MID(B23,IF(LEFT(B23,2)="V-",3,5),30)),1)=0,COUNTIFS(Slots!$A$2:$A$31,"E2",Slots!$B$2:$B$31,C23)=1,ISNUMBER(SEARCH("|"&amp;D23&amp;"|","|"&amp;Settings!$B$9&amp;"|")),OR(E23="regular",E23="first"),OR(F23="include",F23="duplicate",F23="late"),OR(H23="yes",H23="no"),OR(I23="success",I23="failed",I23="unknown",I23="not_sent"),OR(K23="yes",K23="no",K23="none",K23="conflict",K23="unknown"),OR(L23="text",L23="emoji",L23="voice",L23="none",L23="unknown"),OR(M23="yes",M23="no",M23="unknown"),OR(N23="yes",N23="no",N23="unknown"),ISNUMBER(O23),OR(O23=0,O23=1),OR(P23="",P23="soft_yes",P23="forgot",P23="time_place",P23="clash",P23="travel",P23="personal",P23="unknown",P23="silent_but_came"),OR(I23&lt;&gt;"success",AND(J23&lt;&gt;"",COUNTIFS($J$2:$J$201,J23,$I$2:$I$201,"success")=1)),OR(I23&lt;&gt;"not_sent",J23=""),IF(F23="duplicate",AND(COUNTIFS($A$2:$A$201,G23,$B$2:$B$201,B23,$C$2:$C$201,C23,$F$2:$F$201,"include")=1,H23="no",I23="not_sent",K23="none",M23="no",N23="no",O23=0),AND(G23="",N23&lt;&gt;"unknown",COUNTIFS($B$2:$B$201,B23,$F$2:$F$201,"&lt;&gt;duplicate")=1)),IF(F23="include",AND(H23="yes",K23&lt;&gt;"conflict",K23&lt;&gt;"unknown",M23&lt;&gt;"unknown",IF(OR(K23="yes",K23="no"),AND(M23="yes",OR(L23="text",L23="emoji",L23="voice")),L23="none")),TRUE),IF(F23="late",AND(H23="no",I23="not_sent",K23="none",L23="none",O23=0),TRUE)),"OK","CHECK"),"CHECK"))</x:f>
      </x:c>
      <x:c r="R23" s="3"/>
    </x:row>
    <x:row r="24" ht="22" customHeight="1">
      <x:c r="A24" s="8"/>
      <x:c r="B24" s="8"/>
      <x:c r="C24" s="8"/>
      <x:c r="D24" s="8"/>
      <x:c r="E24" s="7"/>
      <x:c r="F24" s="7"/>
      <x:c r="G24" s="7"/>
      <x:c r="H24" s="7"/>
      <x:c r="I24" s="7"/>
      <x:c r="J24" s="8"/>
      <x:c r="K24" s="7"/>
      <x:c r="L24" s="7"/>
      <x:c r="M24" s="7"/>
      <x:c r="N24" s="7"/>
      <x:c r="O24" s="7"/>
      <x:c r="P24" s="7"/>
      <x:c r="Q24" s="3" t="str">
        <x:f>IF(COUNTA(A24:P24)=0,"",IFERROR(IF(AND(A24&lt;&gt;"",COUNTIF($A$2:$A$201,A24)=1,OR(LEFT(B24,2)="V-",LEFT(B24,4)="SYN-"),LEN(MID(B24,IF(LEFT(B24,2)="V-",3,5),30))&gt;0,ISNUMBER(VALUE(MID(B24,IF(LEFT(B24,2)="V-",3,5),30))),VALUE(MID(B24,IF(LEFT(B24,2)="V-",3,5),30))&gt;=0,MOD(VALUE(MID(B24,IF(LEFT(B24,2)="V-",3,5),30)),1)=0,COUNTIFS(Slots!$A$2:$A$31,"E2",Slots!$B$2:$B$31,C24)=1,ISNUMBER(SEARCH("|"&amp;D24&amp;"|","|"&amp;Settings!$B$9&amp;"|")),OR(E24="regular",E24="first"),OR(F24="include",F24="duplicate",F24="late"),OR(H24="yes",H24="no"),OR(I24="success",I24="failed",I24="unknown",I24="not_sent"),OR(K24="yes",K24="no",K24="none",K24="conflict",K24="unknown"),OR(L24="text",L24="emoji",L24="voice",L24="none",L24="unknown"),OR(M24="yes",M24="no",M24="unknown"),OR(N24="yes",N24="no",N24="unknown"),ISNUMBER(O24),OR(O24=0,O24=1),OR(P24="",P24="soft_yes",P24="forgot",P24="time_place",P24="clash",P24="travel",P24="personal",P24="unknown",P24="silent_but_came"),OR(I24&lt;&gt;"success",AND(J24&lt;&gt;"",COUNTIFS($J$2:$J$201,J24,$I$2:$I$201,"success")=1)),OR(I24&lt;&gt;"not_sent",J24=""),IF(F24="duplicate",AND(COUNTIFS($A$2:$A$201,G24,$B$2:$B$201,B24,$C$2:$C$201,C24,$F$2:$F$201,"include")=1,H24="no",I24="not_sent",K24="none",M24="no",N24="no",O24=0),AND(G24="",N24&lt;&gt;"unknown",COUNTIFS($B$2:$B$201,B24,$F$2:$F$201,"&lt;&gt;duplicate")=1)),IF(F24="include",AND(H24="yes",K24&lt;&gt;"conflict",K24&lt;&gt;"unknown",M24&lt;&gt;"unknown",IF(OR(K24="yes",K24="no"),AND(M24="yes",OR(L24="text",L24="emoji",L24="voice")),L24="none")),TRUE),IF(F24="late",AND(H24="no",I24="not_sent",K24="none",L24="none",O24=0),TRUE)),"OK","CHECK"),"CHECK"))</x:f>
      </x:c>
      <x:c r="R24" s="3"/>
    </x:row>
    <x:row r="25" ht="22" customHeight="1">
      <x:c r="A25" s="8"/>
      <x:c r="B25" s="8"/>
      <x:c r="C25" s="8"/>
      <x:c r="D25" s="8"/>
      <x:c r="E25" s="7"/>
      <x:c r="F25" s="7"/>
      <x:c r="G25" s="7"/>
      <x:c r="H25" s="7"/>
      <x:c r="I25" s="7"/>
      <x:c r="J25" s="8"/>
      <x:c r="K25" s="7"/>
      <x:c r="L25" s="7"/>
      <x:c r="M25" s="7"/>
      <x:c r="N25" s="7"/>
      <x:c r="O25" s="7"/>
      <x:c r="P25" s="7"/>
      <x:c r="Q25" s="3" t="str">
        <x:f>IF(COUNTA(A25:P25)=0,"",IFERROR(IF(AND(A25&lt;&gt;"",COUNTIF($A$2:$A$201,A25)=1,OR(LEFT(B25,2)="V-",LEFT(B25,4)="SYN-"),LEN(MID(B25,IF(LEFT(B25,2)="V-",3,5),30))&gt;0,ISNUMBER(VALUE(MID(B25,IF(LEFT(B25,2)="V-",3,5),30))),VALUE(MID(B25,IF(LEFT(B25,2)="V-",3,5),30))&gt;=0,MOD(VALUE(MID(B25,IF(LEFT(B25,2)="V-",3,5),30)),1)=0,COUNTIFS(Slots!$A$2:$A$31,"E2",Slots!$B$2:$B$31,C25)=1,ISNUMBER(SEARCH("|"&amp;D25&amp;"|","|"&amp;Settings!$B$9&amp;"|")),OR(E25="regular",E25="first"),OR(F25="include",F25="duplicate",F25="late"),OR(H25="yes",H25="no"),OR(I25="success",I25="failed",I25="unknown",I25="not_sent"),OR(K25="yes",K25="no",K25="none",K25="conflict",K25="unknown"),OR(L25="text",L25="emoji",L25="voice",L25="none",L25="unknown"),OR(M25="yes",M25="no",M25="unknown"),OR(N25="yes",N25="no",N25="unknown"),ISNUMBER(O25),OR(O25=0,O25=1),OR(P25="",P25="soft_yes",P25="forgot",P25="time_place",P25="clash",P25="travel",P25="personal",P25="unknown",P25="silent_but_came"),OR(I25&lt;&gt;"success",AND(J25&lt;&gt;"",COUNTIFS($J$2:$J$201,J25,$I$2:$I$201,"success")=1)),OR(I25&lt;&gt;"not_sent",J25=""),IF(F25="duplicate",AND(COUNTIFS($A$2:$A$201,G25,$B$2:$B$201,B25,$C$2:$C$201,C25,$F$2:$F$201,"include")=1,H25="no",I25="not_sent",K25="none",M25="no",N25="no",O25=0),AND(G25="",N25&lt;&gt;"unknown",COUNTIFS($B$2:$B$201,B25,$F$2:$F$201,"&lt;&gt;duplicate")=1)),IF(F25="include",AND(H25="yes",K25&lt;&gt;"conflict",K25&lt;&gt;"unknown",M25&lt;&gt;"unknown",IF(OR(K25="yes",K25="no"),AND(M25="yes",OR(L25="text",L25="emoji",L25="voice")),L25="none")),TRUE),IF(F25="late",AND(H25="no",I25="not_sent",K25="none",L25="none",O25=0),TRUE)),"OK","CHECK"),"CHECK"))</x:f>
      </x:c>
      <x:c r="R25" s="3"/>
    </x:row>
    <x:row r="26" ht="22" customHeight="1">
      <x:c r="A26" s="8"/>
      <x:c r="B26" s="8"/>
      <x:c r="C26" s="8"/>
      <x:c r="D26" s="8"/>
      <x:c r="E26" s="7"/>
      <x:c r="F26" s="7"/>
      <x:c r="G26" s="7"/>
      <x:c r="H26" s="7"/>
      <x:c r="I26" s="7"/>
      <x:c r="J26" s="8"/>
      <x:c r="K26" s="7"/>
      <x:c r="L26" s="7"/>
      <x:c r="M26" s="7"/>
      <x:c r="N26" s="7"/>
      <x:c r="O26" s="7"/>
      <x:c r="P26" s="7"/>
      <x:c r="Q26" s="3" t="str">
        <x:f>IF(COUNTA(A26:P26)=0,"",IFERROR(IF(AND(A26&lt;&gt;"",COUNTIF($A$2:$A$201,A26)=1,OR(LEFT(B26,2)="V-",LEFT(B26,4)="SYN-"),LEN(MID(B26,IF(LEFT(B26,2)="V-",3,5),30))&gt;0,ISNUMBER(VALUE(MID(B26,IF(LEFT(B26,2)="V-",3,5),30))),VALUE(MID(B26,IF(LEFT(B26,2)="V-",3,5),30))&gt;=0,MOD(VALUE(MID(B26,IF(LEFT(B26,2)="V-",3,5),30)),1)=0,COUNTIFS(Slots!$A$2:$A$31,"E2",Slots!$B$2:$B$31,C26)=1,ISNUMBER(SEARCH("|"&amp;D26&amp;"|","|"&amp;Settings!$B$9&amp;"|")),OR(E26="regular",E26="first"),OR(F26="include",F26="duplicate",F26="late"),OR(H26="yes",H26="no"),OR(I26="success",I26="failed",I26="unknown",I26="not_sent"),OR(K26="yes",K26="no",K26="none",K26="conflict",K26="unknown"),OR(L26="text",L26="emoji",L26="voice",L26="none",L26="unknown"),OR(M26="yes",M26="no",M26="unknown"),OR(N26="yes",N26="no",N26="unknown"),ISNUMBER(O26),OR(O26=0,O26=1),OR(P26="",P26="soft_yes",P26="forgot",P26="time_place",P26="clash",P26="travel",P26="personal",P26="unknown",P26="silent_but_came"),OR(I26&lt;&gt;"success",AND(J26&lt;&gt;"",COUNTIFS($J$2:$J$201,J26,$I$2:$I$201,"success")=1)),OR(I26&lt;&gt;"not_sent",J26=""),IF(F26="duplicate",AND(COUNTIFS($A$2:$A$201,G26,$B$2:$B$201,B26,$C$2:$C$201,C26,$F$2:$F$201,"include")=1,H26="no",I26="not_sent",K26="none",M26="no",N26="no",O26=0),AND(G26="",N26&lt;&gt;"unknown",COUNTIFS($B$2:$B$201,B26,$F$2:$F$201,"&lt;&gt;duplicate")=1)),IF(F26="include",AND(H26="yes",K26&lt;&gt;"conflict",K26&lt;&gt;"unknown",M26&lt;&gt;"unknown",IF(OR(K26="yes",K26="no"),AND(M26="yes",OR(L26="text",L26="emoji",L26="voice")),L26="none")),TRUE),IF(F26="late",AND(H26="no",I26="not_sent",K26="none",L26="none",O26=0),TRUE)),"OK","CHECK"),"CHECK"))</x:f>
      </x:c>
      <x:c r="R26" s="3"/>
    </x:row>
    <x:row r="27" ht="22" customHeight="1">
      <x:c r="A27" s="8"/>
      <x:c r="B27" s="8"/>
      <x:c r="C27" s="8"/>
      <x:c r="D27" s="8"/>
      <x:c r="E27" s="7"/>
      <x:c r="F27" s="7"/>
      <x:c r="G27" s="7"/>
      <x:c r="H27" s="7"/>
      <x:c r="I27" s="7"/>
      <x:c r="J27" s="8"/>
      <x:c r="K27" s="7"/>
      <x:c r="L27" s="7"/>
      <x:c r="M27" s="7"/>
      <x:c r="N27" s="7"/>
      <x:c r="O27" s="7"/>
      <x:c r="P27" s="7"/>
      <x:c r="Q27" s="3" t="str">
        <x:f>IF(COUNTA(A27:P27)=0,"",IFERROR(IF(AND(A27&lt;&gt;"",COUNTIF($A$2:$A$201,A27)=1,OR(LEFT(B27,2)="V-",LEFT(B27,4)="SYN-"),LEN(MID(B27,IF(LEFT(B27,2)="V-",3,5),30))&gt;0,ISNUMBER(VALUE(MID(B27,IF(LEFT(B27,2)="V-",3,5),30))),VALUE(MID(B27,IF(LEFT(B27,2)="V-",3,5),30))&gt;=0,MOD(VALUE(MID(B27,IF(LEFT(B27,2)="V-",3,5),30)),1)=0,COUNTIFS(Slots!$A$2:$A$31,"E2",Slots!$B$2:$B$31,C27)=1,ISNUMBER(SEARCH("|"&amp;D27&amp;"|","|"&amp;Settings!$B$9&amp;"|")),OR(E27="regular",E27="first"),OR(F27="include",F27="duplicate",F27="late"),OR(H27="yes",H27="no"),OR(I27="success",I27="failed",I27="unknown",I27="not_sent"),OR(K27="yes",K27="no",K27="none",K27="conflict",K27="unknown"),OR(L27="text",L27="emoji",L27="voice",L27="none",L27="unknown"),OR(M27="yes",M27="no",M27="unknown"),OR(N27="yes",N27="no",N27="unknown"),ISNUMBER(O27),OR(O27=0,O27=1),OR(P27="",P27="soft_yes",P27="forgot",P27="time_place",P27="clash",P27="travel",P27="personal",P27="unknown",P27="silent_but_came"),OR(I27&lt;&gt;"success",AND(J27&lt;&gt;"",COUNTIFS($J$2:$J$201,J27,$I$2:$I$201,"success")=1)),OR(I27&lt;&gt;"not_sent",J27=""),IF(F27="duplicate",AND(COUNTIFS($A$2:$A$201,G27,$B$2:$B$201,B27,$C$2:$C$201,C27,$F$2:$F$201,"include")=1,H27="no",I27="not_sent",K27="none",M27="no",N27="no",O27=0),AND(G27="",N27&lt;&gt;"unknown",COUNTIFS($B$2:$B$201,B27,$F$2:$F$201,"&lt;&gt;duplicate")=1)),IF(F27="include",AND(H27="yes",K27&lt;&gt;"conflict",K27&lt;&gt;"unknown",M27&lt;&gt;"unknown",IF(OR(K27="yes",K27="no"),AND(M27="yes",OR(L27="text",L27="emoji",L27="voice")),L27="none")),TRUE),IF(F27="late",AND(H27="no",I27="not_sent",K27="none",L27="none",O27=0),TRUE)),"OK","CHECK"),"CHECK"))</x:f>
      </x:c>
      <x:c r="R27" s="3"/>
    </x:row>
    <x:row r="28" ht="22" customHeight="1">
      <x:c r="A28" s="8"/>
      <x:c r="B28" s="8"/>
      <x:c r="C28" s="8"/>
      <x:c r="D28" s="8"/>
      <x:c r="E28" s="7"/>
      <x:c r="F28" s="7"/>
      <x:c r="G28" s="7"/>
      <x:c r="H28" s="7"/>
      <x:c r="I28" s="7"/>
      <x:c r="J28" s="8"/>
      <x:c r="K28" s="7"/>
      <x:c r="L28" s="7"/>
      <x:c r="M28" s="7"/>
      <x:c r="N28" s="7"/>
      <x:c r="O28" s="7"/>
      <x:c r="P28" s="7"/>
      <x:c r="Q28" s="3" t="str">
        <x:f>IF(COUNTA(A28:P28)=0,"",IFERROR(IF(AND(A28&lt;&gt;"",COUNTIF($A$2:$A$201,A28)=1,OR(LEFT(B28,2)="V-",LEFT(B28,4)="SYN-"),LEN(MID(B28,IF(LEFT(B28,2)="V-",3,5),30))&gt;0,ISNUMBER(VALUE(MID(B28,IF(LEFT(B28,2)="V-",3,5),30))),VALUE(MID(B28,IF(LEFT(B28,2)="V-",3,5),30))&gt;=0,MOD(VALUE(MID(B28,IF(LEFT(B28,2)="V-",3,5),30)),1)=0,COUNTIFS(Slots!$A$2:$A$31,"E2",Slots!$B$2:$B$31,C28)=1,ISNUMBER(SEARCH("|"&amp;D28&amp;"|","|"&amp;Settings!$B$9&amp;"|")),OR(E28="regular",E28="first"),OR(F28="include",F28="duplicate",F28="late"),OR(H28="yes",H28="no"),OR(I28="success",I28="failed",I28="unknown",I28="not_sent"),OR(K28="yes",K28="no",K28="none",K28="conflict",K28="unknown"),OR(L28="text",L28="emoji",L28="voice",L28="none",L28="unknown"),OR(M28="yes",M28="no",M28="unknown"),OR(N28="yes",N28="no",N28="unknown"),ISNUMBER(O28),OR(O28=0,O28=1),OR(P28="",P28="soft_yes",P28="forgot",P28="time_place",P28="clash",P28="travel",P28="personal",P28="unknown",P28="silent_but_came"),OR(I28&lt;&gt;"success",AND(J28&lt;&gt;"",COUNTIFS($J$2:$J$201,J28,$I$2:$I$201,"success")=1)),OR(I28&lt;&gt;"not_sent",J28=""),IF(F28="duplicate",AND(COUNTIFS($A$2:$A$201,G28,$B$2:$B$201,B28,$C$2:$C$201,C28,$F$2:$F$201,"include")=1,H28="no",I28="not_sent",K28="none",M28="no",N28="no",O28=0),AND(G28="",N28&lt;&gt;"unknown",COUNTIFS($B$2:$B$201,B28,$F$2:$F$201,"&lt;&gt;duplicate")=1)),IF(F28="include",AND(H28="yes",K28&lt;&gt;"conflict",K28&lt;&gt;"unknown",M28&lt;&gt;"unknown",IF(OR(K28="yes",K28="no"),AND(M28="yes",OR(L28="text",L28="emoji",L28="voice")),L28="none")),TRUE),IF(F28="late",AND(H28="no",I28="not_sent",K28="none",L28="none",O28=0),TRUE)),"OK","CHECK"),"CHECK"))</x:f>
      </x:c>
      <x:c r="R28" s="3"/>
    </x:row>
    <x:row r="29" ht="22" customHeight="1">
      <x:c r="A29" s="8"/>
      <x:c r="B29" s="8"/>
      <x:c r="C29" s="8"/>
      <x:c r="D29" s="8"/>
      <x:c r="E29" s="7"/>
      <x:c r="F29" s="7"/>
      <x:c r="G29" s="7"/>
      <x:c r="H29" s="7"/>
      <x:c r="I29" s="7"/>
      <x:c r="J29" s="8"/>
      <x:c r="K29" s="7"/>
      <x:c r="L29" s="7"/>
      <x:c r="M29" s="7"/>
      <x:c r="N29" s="7"/>
      <x:c r="O29" s="7"/>
      <x:c r="P29" s="7"/>
      <x:c r="Q29" s="3" t="str">
        <x:f>IF(COUNTA(A29:P29)=0,"",IFERROR(IF(AND(A29&lt;&gt;"",COUNTIF($A$2:$A$201,A29)=1,OR(LEFT(B29,2)="V-",LEFT(B29,4)="SYN-"),LEN(MID(B29,IF(LEFT(B29,2)="V-",3,5),30))&gt;0,ISNUMBER(VALUE(MID(B29,IF(LEFT(B29,2)="V-",3,5),30))),VALUE(MID(B29,IF(LEFT(B29,2)="V-",3,5),30))&gt;=0,MOD(VALUE(MID(B29,IF(LEFT(B29,2)="V-",3,5),30)),1)=0,COUNTIFS(Slots!$A$2:$A$31,"E2",Slots!$B$2:$B$31,C29)=1,ISNUMBER(SEARCH("|"&amp;D29&amp;"|","|"&amp;Settings!$B$9&amp;"|")),OR(E29="regular",E29="first"),OR(F29="include",F29="duplicate",F29="late"),OR(H29="yes",H29="no"),OR(I29="success",I29="failed",I29="unknown",I29="not_sent"),OR(K29="yes",K29="no",K29="none",K29="conflict",K29="unknown"),OR(L29="text",L29="emoji",L29="voice",L29="none",L29="unknown"),OR(M29="yes",M29="no",M29="unknown"),OR(N29="yes",N29="no",N29="unknown"),ISNUMBER(O29),OR(O29=0,O29=1),OR(P29="",P29="soft_yes",P29="forgot",P29="time_place",P29="clash",P29="travel",P29="personal",P29="unknown",P29="silent_but_came"),OR(I29&lt;&gt;"success",AND(J29&lt;&gt;"",COUNTIFS($J$2:$J$201,J29,$I$2:$I$201,"success")=1)),OR(I29&lt;&gt;"not_sent",J29=""),IF(F29="duplicate",AND(COUNTIFS($A$2:$A$201,G29,$B$2:$B$201,B29,$C$2:$C$201,C29,$F$2:$F$201,"include")=1,H29="no",I29="not_sent",K29="none",M29="no",N29="no",O29=0),AND(G29="",N29&lt;&gt;"unknown",COUNTIFS($B$2:$B$201,B29,$F$2:$F$201,"&lt;&gt;duplicate")=1)),IF(F29="include",AND(H29="yes",K29&lt;&gt;"conflict",K29&lt;&gt;"unknown",M29&lt;&gt;"unknown",IF(OR(K29="yes",K29="no"),AND(M29="yes",OR(L29="text",L29="emoji",L29="voice")),L29="none")),TRUE),IF(F29="late",AND(H29="no",I29="not_sent",K29="none",L29="none",O29=0),TRUE)),"OK","CHECK"),"CHECK"))</x:f>
      </x:c>
      <x:c r="R29" s="3"/>
    </x:row>
    <x:row r="30" ht="22" customHeight="1">
      <x:c r="A30" s="8"/>
      <x:c r="B30" s="8"/>
      <x:c r="C30" s="8"/>
      <x:c r="D30" s="8"/>
      <x:c r="E30" s="7"/>
      <x:c r="F30" s="7"/>
      <x:c r="G30" s="7"/>
      <x:c r="H30" s="7"/>
      <x:c r="I30" s="7"/>
      <x:c r="J30" s="8"/>
      <x:c r="K30" s="7"/>
      <x:c r="L30" s="7"/>
      <x:c r="M30" s="7"/>
      <x:c r="N30" s="7"/>
      <x:c r="O30" s="7"/>
      <x:c r="P30" s="7"/>
      <x:c r="Q30" s="3" t="str">
        <x:f>IF(COUNTA(A30:P30)=0,"",IFERROR(IF(AND(A30&lt;&gt;"",COUNTIF($A$2:$A$201,A30)=1,OR(LEFT(B30,2)="V-",LEFT(B30,4)="SYN-"),LEN(MID(B30,IF(LEFT(B30,2)="V-",3,5),30))&gt;0,ISNUMBER(VALUE(MID(B30,IF(LEFT(B30,2)="V-",3,5),30))),VALUE(MID(B30,IF(LEFT(B30,2)="V-",3,5),30))&gt;=0,MOD(VALUE(MID(B30,IF(LEFT(B30,2)="V-",3,5),30)),1)=0,COUNTIFS(Slots!$A$2:$A$31,"E2",Slots!$B$2:$B$31,C30)=1,ISNUMBER(SEARCH("|"&amp;D30&amp;"|","|"&amp;Settings!$B$9&amp;"|")),OR(E30="regular",E30="first"),OR(F30="include",F30="duplicate",F30="late"),OR(H30="yes",H30="no"),OR(I30="success",I30="failed",I30="unknown",I30="not_sent"),OR(K30="yes",K30="no",K30="none",K30="conflict",K30="unknown"),OR(L30="text",L30="emoji",L30="voice",L30="none",L30="unknown"),OR(M30="yes",M30="no",M30="unknown"),OR(N30="yes",N30="no",N30="unknown"),ISNUMBER(O30),OR(O30=0,O30=1),OR(P30="",P30="soft_yes",P30="forgot",P30="time_place",P30="clash",P30="travel",P30="personal",P30="unknown",P30="silent_but_came"),OR(I30&lt;&gt;"success",AND(J30&lt;&gt;"",COUNTIFS($J$2:$J$201,J30,$I$2:$I$201,"success")=1)),OR(I30&lt;&gt;"not_sent",J30=""),IF(F30="duplicate",AND(COUNTIFS($A$2:$A$201,G30,$B$2:$B$201,B30,$C$2:$C$201,C30,$F$2:$F$201,"include")=1,H30="no",I30="not_sent",K30="none",M30="no",N30="no",O30=0),AND(G30="",N30&lt;&gt;"unknown",COUNTIFS($B$2:$B$201,B30,$F$2:$F$201,"&lt;&gt;duplicate")=1)),IF(F30="include",AND(H30="yes",K30&lt;&gt;"conflict",K30&lt;&gt;"unknown",M30&lt;&gt;"unknown",IF(OR(K30="yes",K30="no"),AND(M30="yes",OR(L30="text",L30="emoji",L30="voice")),L30="none")),TRUE),IF(F30="late",AND(H30="no",I30="not_sent",K30="none",L30="none",O30=0),TRUE)),"OK","CHECK"),"CHECK"))</x:f>
      </x:c>
      <x:c r="R30" s="3"/>
    </x:row>
    <x:row r="31" ht="22" customHeight="1">
      <x:c r="A31" s="8"/>
      <x:c r="B31" s="8"/>
      <x:c r="C31" s="8"/>
      <x:c r="D31" s="8"/>
      <x:c r="E31" s="7"/>
      <x:c r="F31" s="7"/>
      <x:c r="G31" s="7"/>
      <x:c r="H31" s="7"/>
      <x:c r="I31" s="7"/>
      <x:c r="J31" s="8"/>
      <x:c r="K31" s="7"/>
      <x:c r="L31" s="7"/>
      <x:c r="M31" s="7"/>
      <x:c r="N31" s="7"/>
      <x:c r="O31" s="7"/>
      <x:c r="P31" s="7"/>
      <x:c r="Q31" s="3" t="str">
        <x:f>IF(COUNTA(A31:P31)=0,"",IFERROR(IF(AND(A31&lt;&gt;"",COUNTIF($A$2:$A$201,A31)=1,OR(LEFT(B31,2)="V-",LEFT(B31,4)="SYN-"),LEN(MID(B31,IF(LEFT(B31,2)="V-",3,5),30))&gt;0,ISNUMBER(VALUE(MID(B31,IF(LEFT(B31,2)="V-",3,5),30))),VALUE(MID(B31,IF(LEFT(B31,2)="V-",3,5),30))&gt;=0,MOD(VALUE(MID(B31,IF(LEFT(B31,2)="V-",3,5),30)),1)=0,COUNTIFS(Slots!$A$2:$A$31,"E2",Slots!$B$2:$B$31,C31)=1,ISNUMBER(SEARCH("|"&amp;D31&amp;"|","|"&amp;Settings!$B$9&amp;"|")),OR(E31="regular",E31="first"),OR(F31="include",F31="duplicate",F31="late"),OR(H31="yes",H31="no"),OR(I31="success",I31="failed",I31="unknown",I31="not_sent"),OR(K31="yes",K31="no",K31="none",K31="conflict",K31="unknown"),OR(L31="text",L31="emoji",L31="voice",L31="none",L31="unknown"),OR(M31="yes",M31="no",M31="unknown"),OR(N31="yes",N31="no",N31="unknown"),ISNUMBER(O31),OR(O31=0,O31=1),OR(P31="",P31="soft_yes",P31="forgot",P31="time_place",P31="clash",P31="travel",P31="personal",P31="unknown",P31="silent_but_came"),OR(I31&lt;&gt;"success",AND(J31&lt;&gt;"",COUNTIFS($J$2:$J$201,J31,$I$2:$I$201,"success")=1)),OR(I31&lt;&gt;"not_sent",J31=""),IF(F31="duplicate",AND(COUNTIFS($A$2:$A$201,G31,$B$2:$B$201,B31,$C$2:$C$201,C31,$F$2:$F$201,"include")=1,H31="no",I31="not_sent",K31="none",M31="no",N31="no",O31=0),AND(G31="",N31&lt;&gt;"unknown",COUNTIFS($B$2:$B$201,B31,$F$2:$F$201,"&lt;&gt;duplicate")=1)),IF(F31="include",AND(H31="yes",K31&lt;&gt;"conflict",K31&lt;&gt;"unknown",M31&lt;&gt;"unknown",IF(OR(K31="yes",K31="no"),AND(M31="yes",OR(L31="text",L31="emoji",L31="voice")),L31="none")),TRUE),IF(F31="late",AND(H31="no",I31="not_sent",K31="none",L31="none",O31=0),TRUE)),"OK","CHECK"),"CHECK"))</x:f>
      </x:c>
      <x:c r="R31" s="3"/>
    </x:row>
    <x:row r="32" ht="22" customHeight="1">
      <x:c r="A32" s="8"/>
      <x:c r="B32" s="8"/>
      <x:c r="C32" s="8"/>
      <x:c r="D32" s="8"/>
      <x:c r="E32" s="7"/>
      <x:c r="F32" s="7"/>
      <x:c r="G32" s="7"/>
      <x:c r="H32" s="7"/>
      <x:c r="I32" s="7"/>
      <x:c r="J32" s="8"/>
      <x:c r="K32" s="7"/>
      <x:c r="L32" s="7"/>
      <x:c r="M32" s="7"/>
      <x:c r="N32" s="7"/>
      <x:c r="O32" s="7"/>
      <x:c r="P32" s="7"/>
      <x:c r="Q32" s="3" t="str">
        <x:f>IF(COUNTA(A32:P32)=0,"",IFERROR(IF(AND(A32&lt;&gt;"",COUNTIF($A$2:$A$201,A32)=1,OR(LEFT(B32,2)="V-",LEFT(B32,4)="SYN-"),LEN(MID(B32,IF(LEFT(B32,2)="V-",3,5),30))&gt;0,ISNUMBER(VALUE(MID(B32,IF(LEFT(B32,2)="V-",3,5),30))),VALUE(MID(B32,IF(LEFT(B32,2)="V-",3,5),30))&gt;=0,MOD(VALUE(MID(B32,IF(LEFT(B32,2)="V-",3,5),30)),1)=0,COUNTIFS(Slots!$A$2:$A$31,"E2",Slots!$B$2:$B$31,C32)=1,ISNUMBER(SEARCH("|"&amp;D32&amp;"|","|"&amp;Settings!$B$9&amp;"|")),OR(E32="regular",E32="first"),OR(F32="include",F32="duplicate",F32="late"),OR(H32="yes",H32="no"),OR(I32="success",I32="failed",I32="unknown",I32="not_sent"),OR(K32="yes",K32="no",K32="none",K32="conflict",K32="unknown"),OR(L32="text",L32="emoji",L32="voice",L32="none",L32="unknown"),OR(M32="yes",M32="no",M32="unknown"),OR(N32="yes",N32="no",N32="unknown"),ISNUMBER(O32),OR(O32=0,O32=1),OR(P32="",P32="soft_yes",P32="forgot",P32="time_place",P32="clash",P32="travel",P32="personal",P32="unknown",P32="silent_but_came"),OR(I32&lt;&gt;"success",AND(J32&lt;&gt;"",COUNTIFS($J$2:$J$201,J32,$I$2:$I$201,"success")=1)),OR(I32&lt;&gt;"not_sent",J32=""),IF(F32="duplicate",AND(COUNTIFS($A$2:$A$201,G32,$B$2:$B$201,B32,$C$2:$C$201,C32,$F$2:$F$201,"include")=1,H32="no",I32="not_sent",K32="none",M32="no",N32="no",O32=0),AND(G32="",N32&lt;&gt;"unknown",COUNTIFS($B$2:$B$201,B32,$F$2:$F$201,"&lt;&gt;duplicate")=1)),IF(F32="include",AND(H32="yes",K32&lt;&gt;"conflict",K32&lt;&gt;"unknown",M32&lt;&gt;"unknown",IF(OR(K32="yes",K32="no"),AND(M32="yes",OR(L32="text",L32="emoji",L32="voice")),L32="none")),TRUE),IF(F32="late",AND(H32="no",I32="not_sent",K32="none",L32="none",O32=0),TRUE)),"OK","CHECK"),"CHECK"))</x:f>
      </x:c>
      <x:c r="R32" s="3"/>
    </x:row>
    <x:row r="33" ht="22" customHeight="1">
      <x:c r="A33" s="8"/>
      <x:c r="B33" s="8"/>
      <x:c r="C33" s="8"/>
      <x:c r="D33" s="8"/>
      <x:c r="E33" s="7"/>
      <x:c r="F33" s="7"/>
      <x:c r="G33" s="7"/>
      <x:c r="H33" s="7"/>
      <x:c r="I33" s="7"/>
      <x:c r="J33" s="8"/>
      <x:c r="K33" s="7"/>
      <x:c r="L33" s="7"/>
      <x:c r="M33" s="7"/>
      <x:c r="N33" s="7"/>
      <x:c r="O33" s="7"/>
      <x:c r="P33" s="7"/>
      <x:c r="Q33" s="3" t="str">
        <x:f>IF(COUNTA(A33:P33)=0,"",IFERROR(IF(AND(A33&lt;&gt;"",COUNTIF($A$2:$A$201,A33)=1,OR(LEFT(B33,2)="V-",LEFT(B33,4)="SYN-"),LEN(MID(B33,IF(LEFT(B33,2)="V-",3,5),30))&gt;0,ISNUMBER(VALUE(MID(B33,IF(LEFT(B33,2)="V-",3,5),30))),VALUE(MID(B33,IF(LEFT(B33,2)="V-",3,5),30))&gt;=0,MOD(VALUE(MID(B33,IF(LEFT(B33,2)="V-",3,5),30)),1)=0,COUNTIFS(Slots!$A$2:$A$31,"E2",Slots!$B$2:$B$31,C33)=1,ISNUMBER(SEARCH("|"&amp;D33&amp;"|","|"&amp;Settings!$B$9&amp;"|")),OR(E33="regular",E33="first"),OR(F33="include",F33="duplicate",F33="late"),OR(H33="yes",H33="no"),OR(I33="success",I33="failed",I33="unknown",I33="not_sent"),OR(K33="yes",K33="no",K33="none",K33="conflict",K33="unknown"),OR(L33="text",L33="emoji",L33="voice",L33="none",L33="unknown"),OR(M33="yes",M33="no",M33="unknown"),OR(N33="yes",N33="no",N33="unknown"),ISNUMBER(O33),OR(O33=0,O33=1),OR(P33="",P33="soft_yes",P33="forgot",P33="time_place",P33="clash",P33="travel",P33="personal",P33="unknown",P33="silent_but_came"),OR(I33&lt;&gt;"success",AND(J33&lt;&gt;"",COUNTIFS($J$2:$J$201,J33,$I$2:$I$201,"success")=1)),OR(I33&lt;&gt;"not_sent",J33=""),IF(F33="duplicate",AND(COUNTIFS($A$2:$A$201,G33,$B$2:$B$201,B33,$C$2:$C$201,C33,$F$2:$F$201,"include")=1,H33="no",I33="not_sent",K33="none",M33="no",N33="no",O33=0),AND(G33="",N33&lt;&gt;"unknown",COUNTIFS($B$2:$B$201,B33,$F$2:$F$201,"&lt;&gt;duplicate")=1)),IF(F33="include",AND(H33="yes",K33&lt;&gt;"conflict",K33&lt;&gt;"unknown",M33&lt;&gt;"unknown",IF(OR(K33="yes",K33="no"),AND(M33="yes",OR(L33="text",L33="emoji",L33="voice")),L33="none")),TRUE),IF(F33="late",AND(H33="no",I33="not_sent",K33="none",L33="none",O33=0),TRUE)),"OK","CHECK"),"CHECK"))</x:f>
      </x:c>
      <x:c r="R33" s="3"/>
    </x:row>
    <x:row r="34" ht="22" customHeight="1">
      <x:c r="A34" s="8"/>
      <x:c r="B34" s="8"/>
      <x:c r="C34" s="8"/>
      <x:c r="D34" s="8"/>
      <x:c r="E34" s="7"/>
      <x:c r="F34" s="7"/>
      <x:c r="G34" s="7"/>
      <x:c r="H34" s="7"/>
      <x:c r="I34" s="7"/>
      <x:c r="J34" s="8"/>
      <x:c r="K34" s="7"/>
      <x:c r="L34" s="7"/>
      <x:c r="M34" s="7"/>
      <x:c r="N34" s="7"/>
      <x:c r="O34" s="7"/>
      <x:c r="P34" s="7"/>
      <x:c r="Q34" s="3" t="str">
        <x:f>IF(COUNTA(A34:P34)=0,"",IFERROR(IF(AND(A34&lt;&gt;"",COUNTIF($A$2:$A$201,A34)=1,OR(LEFT(B34,2)="V-",LEFT(B34,4)="SYN-"),LEN(MID(B34,IF(LEFT(B34,2)="V-",3,5),30))&gt;0,ISNUMBER(VALUE(MID(B34,IF(LEFT(B34,2)="V-",3,5),30))),VALUE(MID(B34,IF(LEFT(B34,2)="V-",3,5),30))&gt;=0,MOD(VALUE(MID(B34,IF(LEFT(B34,2)="V-",3,5),30)),1)=0,COUNTIFS(Slots!$A$2:$A$31,"E2",Slots!$B$2:$B$31,C34)=1,ISNUMBER(SEARCH("|"&amp;D34&amp;"|","|"&amp;Settings!$B$9&amp;"|")),OR(E34="regular",E34="first"),OR(F34="include",F34="duplicate",F34="late"),OR(H34="yes",H34="no"),OR(I34="success",I34="failed",I34="unknown",I34="not_sent"),OR(K34="yes",K34="no",K34="none",K34="conflict",K34="unknown"),OR(L34="text",L34="emoji",L34="voice",L34="none",L34="unknown"),OR(M34="yes",M34="no",M34="unknown"),OR(N34="yes",N34="no",N34="unknown"),ISNUMBER(O34),OR(O34=0,O34=1),OR(P34="",P34="soft_yes",P34="forgot",P34="time_place",P34="clash",P34="travel",P34="personal",P34="unknown",P34="silent_but_came"),OR(I34&lt;&gt;"success",AND(J34&lt;&gt;"",COUNTIFS($J$2:$J$201,J34,$I$2:$I$201,"success")=1)),OR(I34&lt;&gt;"not_sent",J34=""),IF(F34="duplicate",AND(COUNTIFS($A$2:$A$201,G34,$B$2:$B$201,B34,$C$2:$C$201,C34,$F$2:$F$201,"include")=1,H34="no",I34="not_sent",K34="none",M34="no",N34="no",O34=0),AND(G34="",N34&lt;&gt;"unknown",COUNTIFS($B$2:$B$201,B34,$F$2:$F$201,"&lt;&gt;duplicate")=1)),IF(F34="include",AND(H34="yes",K34&lt;&gt;"conflict",K34&lt;&gt;"unknown",M34&lt;&gt;"unknown",IF(OR(K34="yes",K34="no"),AND(M34="yes",OR(L34="text",L34="emoji",L34="voice")),L34="none")),TRUE),IF(F34="late",AND(H34="no",I34="not_sent",K34="none",L34="none",O34=0),TRUE)),"OK","CHECK"),"CHECK"))</x:f>
      </x:c>
      <x:c r="R34" s="3"/>
    </x:row>
    <x:row r="35" ht="22" customHeight="1">
      <x:c r="A35" s="8"/>
      <x:c r="B35" s="8"/>
      <x:c r="C35" s="8"/>
      <x:c r="D35" s="8"/>
      <x:c r="E35" s="7"/>
      <x:c r="F35" s="7"/>
      <x:c r="G35" s="7"/>
      <x:c r="H35" s="7"/>
      <x:c r="I35" s="7"/>
      <x:c r="J35" s="8"/>
      <x:c r="K35" s="7"/>
      <x:c r="L35" s="7"/>
      <x:c r="M35" s="7"/>
      <x:c r="N35" s="7"/>
      <x:c r="O35" s="7"/>
      <x:c r="P35" s="7"/>
      <x:c r="Q35" s="3" t="str">
        <x:f>IF(COUNTA(A35:P35)=0,"",IFERROR(IF(AND(A35&lt;&gt;"",COUNTIF($A$2:$A$201,A35)=1,OR(LEFT(B35,2)="V-",LEFT(B35,4)="SYN-"),LEN(MID(B35,IF(LEFT(B35,2)="V-",3,5),30))&gt;0,ISNUMBER(VALUE(MID(B35,IF(LEFT(B35,2)="V-",3,5),30))),VALUE(MID(B35,IF(LEFT(B35,2)="V-",3,5),30))&gt;=0,MOD(VALUE(MID(B35,IF(LEFT(B35,2)="V-",3,5),30)),1)=0,COUNTIFS(Slots!$A$2:$A$31,"E2",Slots!$B$2:$B$31,C35)=1,ISNUMBER(SEARCH("|"&amp;D35&amp;"|","|"&amp;Settings!$B$9&amp;"|")),OR(E35="regular",E35="first"),OR(F35="include",F35="duplicate",F35="late"),OR(H35="yes",H35="no"),OR(I35="success",I35="failed",I35="unknown",I35="not_sent"),OR(K35="yes",K35="no",K35="none",K35="conflict",K35="unknown"),OR(L35="text",L35="emoji",L35="voice",L35="none",L35="unknown"),OR(M35="yes",M35="no",M35="unknown"),OR(N35="yes",N35="no",N35="unknown"),ISNUMBER(O35),OR(O35=0,O35=1),OR(P35="",P35="soft_yes",P35="forgot",P35="time_place",P35="clash",P35="travel",P35="personal",P35="unknown",P35="silent_but_came"),OR(I35&lt;&gt;"success",AND(J35&lt;&gt;"",COUNTIFS($J$2:$J$201,J35,$I$2:$I$201,"success")=1)),OR(I35&lt;&gt;"not_sent",J35=""),IF(F35="duplicate",AND(COUNTIFS($A$2:$A$201,G35,$B$2:$B$201,B35,$C$2:$C$201,C35,$F$2:$F$201,"include")=1,H35="no",I35="not_sent",K35="none",M35="no",N35="no",O35=0),AND(G35="",N35&lt;&gt;"unknown",COUNTIFS($B$2:$B$201,B35,$F$2:$F$201,"&lt;&gt;duplicate")=1)),IF(F35="include",AND(H35="yes",K35&lt;&gt;"conflict",K35&lt;&gt;"unknown",M35&lt;&gt;"unknown",IF(OR(K35="yes",K35="no"),AND(M35="yes",OR(L35="text",L35="emoji",L35="voice")),L35="none")),TRUE),IF(F35="late",AND(H35="no",I35="not_sent",K35="none",L35="none",O35=0),TRUE)),"OK","CHECK"),"CHECK"))</x:f>
      </x:c>
      <x:c r="R35" s="3"/>
    </x:row>
    <x:row r="36" ht="22" customHeight="1">
      <x:c r="A36" s="8"/>
      <x:c r="B36" s="8"/>
      <x:c r="C36" s="8"/>
      <x:c r="D36" s="8"/>
      <x:c r="E36" s="7"/>
      <x:c r="F36" s="7"/>
      <x:c r="G36" s="7"/>
      <x:c r="H36" s="7"/>
      <x:c r="I36" s="7"/>
      <x:c r="J36" s="8"/>
      <x:c r="K36" s="7"/>
      <x:c r="L36" s="7"/>
      <x:c r="M36" s="7"/>
      <x:c r="N36" s="7"/>
      <x:c r="O36" s="7"/>
      <x:c r="P36" s="7"/>
      <x:c r="Q36" s="3" t="str">
        <x:f>IF(COUNTA(A36:P36)=0,"",IFERROR(IF(AND(A36&lt;&gt;"",COUNTIF($A$2:$A$201,A36)=1,OR(LEFT(B36,2)="V-",LEFT(B36,4)="SYN-"),LEN(MID(B36,IF(LEFT(B36,2)="V-",3,5),30))&gt;0,ISNUMBER(VALUE(MID(B36,IF(LEFT(B36,2)="V-",3,5),30))),VALUE(MID(B36,IF(LEFT(B36,2)="V-",3,5),30))&gt;=0,MOD(VALUE(MID(B36,IF(LEFT(B36,2)="V-",3,5),30)),1)=0,COUNTIFS(Slots!$A$2:$A$31,"E2",Slots!$B$2:$B$31,C36)=1,ISNUMBER(SEARCH("|"&amp;D36&amp;"|","|"&amp;Settings!$B$9&amp;"|")),OR(E36="regular",E36="first"),OR(F36="include",F36="duplicate",F36="late"),OR(H36="yes",H36="no"),OR(I36="success",I36="failed",I36="unknown",I36="not_sent"),OR(K36="yes",K36="no",K36="none",K36="conflict",K36="unknown"),OR(L36="text",L36="emoji",L36="voice",L36="none",L36="unknown"),OR(M36="yes",M36="no",M36="unknown"),OR(N36="yes",N36="no",N36="unknown"),ISNUMBER(O36),OR(O36=0,O36=1),OR(P36="",P36="soft_yes",P36="forgot",P36="time_place",P36="clash",P36="travel",P36="personal",P36="unknown",P36="silent_but_came"),OR(I36&lt;&gt;"success",AND(J36&lt;&gt;"",COUNTIFS($J$2:$J$201,J36,$I$2:$I$201,"success")=1)),OR(I36&lt;&gt;"not_sent",J36=""),IF(F36="duplicate",AND(COUNTIFS($A$2:$A$201,G36,$B$2:$B$201,B36,$C$2:$C$201,C36,$F$2:$F$201,"include")=1,H36="no",I36="not_sent",K36="none",M36="no",N36="no",O36=0),AND(G36="",N36&lt;&gt;"unknown",COUNTIFS($B$2:$B$201,B36,$F$2:$F$201,"&lt;&gt;duplicate")=1)),IF(F36="include",AND(H36="yes",K36&lt;&gt;"conflict",K36&lt;&gt;"unknown",M36&lt;&gt;"unknown",IF(OR(K36="yes",K36="no"),AND(M36="yes",OR(L36="text",L36="emoji",L36="voice")),L36="none")),TRUE),IF(F36="late",AND(H36="no",I36="not_sent",K36="none",L36="none",O36=0),TRUE)),"OK","CHECK"),"CHECK"))</x:f>
      </x:c>
      <x:c r="R36" s="3"/>
    </x:row>
    <x:row r="37" ht="22" customHeight="1">
      <x:c r="A37" s="8"/>
      <x:c r="B37" s="8"/>
      <x:c r="C37" s="8"/>
      <x:c r="D37" s="8"/>
      <x:c r="E37" s="7"/>
      <x:c r="F37" s="7"/>
      <x:c r="G37" s="7"/>
      <x:c r="H37" s="7"/>
      <x:c r="I37" s="7"/>
      <x:c r="J37" s="8"/>
      <x:c r="K37" s="7"/>
      <x:c r="L37" s="7"/>
      <x:c r="M37" s="7"/>
      <x:c r="N37" s="7"/>
      <x:c r="O37" s="7"/>
      <x:c r="P37" s="7"/>
      <x:c r="Q37" s="3" t="str">
        <x:f>IF(COUNTA(A37:P37)=0,"",IFERROR(IF(AND(A37&lt;&gt;"",COUNTIF($A$2:$A$201,A37)=1,OR(LEFT(B37,2)="V-",LEFT(B37,4)="SYN-"),LEN(MID(B37,IF(LEFT(B37,2)="V-",3,5),30))&gt;0,ISNUMBER(VALUE(MID(B37,IF(LEFT(B37,2)="V-",3,5),30))),VALUE(MID(B37,IF(LEFT(B37,2)="V-",3,5),30))&gt;=0,MOD(VALUE(MID(B37,IF(LEFT(B37,2)="V-",3,5),30)),1)=0,COUNTIFS(Slots!$A$2:$A$31,"E2",Slots!$B$2:$B$31,C37)=1,ISNUMBER(SEARCH("|"&amp;D37&amp;"|","|"&amp;Settings!$B$9&amp;"|")),OR(E37="regular",E37="first"),OR(F37="include",F37="duplicate",F37="late"),OR(H37="yes",H37="no"),OR(I37="success",I37="failed",I37="unknown",I37="not_sent"),OR(K37="yes",K37="no",K37="none",K37="conflict",K37="unknown"),OR(L37="text",L37="emoji",L37="voice",L37="none",L37="unknown"),OR(M37="yes",M37="no",M37="unknown"),OR(N37="yes",N37="no",N37="unknown"),ISNUMBER(O37),OR(O37=0,O37=1),OR(P37="",P37="soft_yes",P37="forgot",P37="time_place",P37="clash",P37="travel",P37="personal",P37="unknown",P37="silent_but_came"),OR(I37&lt;&gt;"success",AND(J37&lt;&gt;"",COUNTIFS($J$2:$J$201,J37,$I$2:$I$201,"success")=1)),OR(I37&lt;&gt;"not_sent",J37=""),IF(F37="duplicate",AND(COUNTIFS($A$2:$A$201,G37,$B$2:$B$201,B37,$C$2:$C$201,C37,$F$2:$F$201,"include")=1,H37="no",I37="not_sent",K37="none",M37="no",N37="no",O37=0),AND(G37="",N37&lt;&gt;"unknown",COUNTIFS($B$2:$B$201,B37,$F$2:$F$201,"&lt;&gt;duplicate")=1)),IF(F37="include",AND(H37="yes",K37&lt;&gt;"conflict",K37&lt;&gt;"unknown",M37&lt;&gt;"unknown",IF(OR(K37="yes",K37="no"),AND(M37="yes",OR(L37="text",L37="emoji",L37="voice")),L37="none")),TRUE),IF(F37="late",AND(H37="no",I37="not_sent",K37="none",L37="none",O37=0),TRUE)),"OK","CHECK"),"CHECK"))</x:f>
      </x:c>
      <x:c r="R37" s="3"/>
    </x:row>
    <x:row r="38" ht="22" customHeight="1">
      <x:c r="A38" s="8"/>
      <x:c r="B38" s="8"/>
      <x:c r="C38" s="8"/>
      <x:c r="D38" s="8"/>
      <x:c r="E38" s="7"/>
      <x:c r="F38" s="7"/>
      <x:c r="G38" s="7"/>
      <x:c r="H38" s="7"/>
      <x:c r="I38" s="7"/>
      <x:c r="J38" s="8"/>
      <x:c r="K38" s="7"/>
      <x:c r="L38" s="7"/>
      <x:c r="M38" s="7"/>
      <x:c r="N38" s="7"/>
      <x:c r="O38" s="7"/>
      <x:c r="P38" s="7"/>
      <x:c r="Q38" s="3" t="str">
        <x:f>IF(COUNTA(A38:P38)=0,"",IFERROR(IF(AND(A38&lt;&gt;"",COUNTIF($A$2:$A$201,A38)=1,OR(LEFT(B38,2)="V-",LEFT(B38,4)="SYN-"),LEN(MID(B38,IF(LEFT(B38,2)="V-",3,5),30))&gt;0,ISNUMBER(VALUE(MID(B38,IF(LEFT(B38,2)="V-",3,5),30))),VALUE(MID(B38,IF(LEFT(B38,2)="V-",3,5),30))&gt;=0,MOD(VALUE(MID(B38,IF(LEFT(B38,2)="V-",3,5),30)),1)=0,COUNTIFS(Slots!$A$2:$A$31,"E2",Slots!$B$2:$B$31,C38)=1,ISNUMBER(SEARCH("|"&amp;D38&amp;"|","|"&amp;Settings!$B$9&amp;"|")),OR(E38="regular",E38="first"),OR(F38="include",F38="duplicate",F38="late"),OR(H38="yes",H38="no"),OR(I38="success",I38="failed",I38="unknown",I38="not_sent"),OR(K38="yes",K38="no",K38="none",K38="conflict",K38="unknown"),OR(L38="text",L38="emoji",L38="voice",L38="none",L38="unknown"),OR(M38="yes",M38="no",M38="unknown"),OR(N38="yes",N38="no",N38="unknown"),ISNUMBER(O38),OR(O38=0,O38=1),OR(P38="",P38="soft_yes",P38="forgot",P38="time_place",P38="clash",P38="travel",P38="personal",P38="unknown",P38="silent_but_came"),OR(I38&lt;&gt;"success",AND(J38&lt;&gt;"",COUNTIFS($J$2:$J$201,J38,$I$2:$I$201,"success")=1)),OR(I38&lt;&gt;"not_sent",J38=""),IF(F38="duplicate",AND(COUNTIFS($A$2:$A$201,G38,$B$2:$B$201,B38,$C$2:$C$201,C38,$F$2:$F$201,"include")=1,H38="no",I38="not_sent",K38="none",M38="no",N38="no",O38=0),AND(G38="",N38&lt;&gt;"unknown",COUNTIFS($B$2:$B$201,B38,$F$2:$F$201,"&lt;&gt;duplicate")=1)),IF(F38="include",AND(H38="yes",K38&lt;&gt;"conflict",K38&lt;&gt;"unknown",M38&lt;&gt;"unknown",IF(OR(K38="yes",K38="no"),AND(M38="yes",OR(L38="text",L38="emoji",L38="voice")),L38="none")),TRUE),IF(F38="late",AND(H38="no",I38="not_sent",K38="none",L38="none",O38=0),TRUE)),"OK","CHECK"),"CHECK"))</x:f>
      </x:c>
      <x:c r="R38" s="3"/>
    </x:row>
    <x:row r="39" ht="22" customHeight="1">
      <x:c r="A39" s="8"/>
      <x:c r="B39" s="8"/>
      <x:c r="C39" s="8"/>
      <x:c r="D39" s="8"/>
      <x:c r="E39" s="7"/>
      <x:c r="F39" s="7"/>
      <x:c r="G39" s="7"/>
      <x:c r="H39" s="7"/>
      <x:c r="I39" s="7"/>
      <x:c r="J39" s="8"/>
      <x:c r="K39" s="7"/>
      <x:c r="L39" s="7"/>
      <x:c r="M39" s="7"/>
      <x:c r="N39" s="7"/>
      <x:c r="O39" s="7"/>
      <x:c r="P39" s="7"/>
      <x:c r="Q39" s="3" t="str">
        <x:f>IF(COUNTA(A39:P39)=0,"",IFERROR(IF(AND(A39&lt;&gt;"",COUNTIF($A$2:$A$201,A39)=1,OR(LEFT(B39,2)="V-",LEFT(B39,4)="SYN-"),LEN(MID(B39,IF(LEFT(B39,2)="V-",3,5),30))&gt;0,ISNUMBER(VALUE(MID(B39,IF(LEFT(B39,2)="V-",3,5),30))),VALUE(MID(B39,IF(LEFT(B39,2)="V-",3,5),30))&gt;=0,MOD(VALUE(MID(B39,IF(LEFT(B39,2)="V-",3,5),30)),1)=0,COUNTIFS(Slots!$A$2:$A$31,"E2",Slots!$B$2:$B$31,C39)=1,ISNUMBER(SEARCH("|"&amp;D39&amp;"|","|"&amp;Settings!$B$9&amp;"|")),OR(E39="regular",E39="first"),OR(F39="include",F39="duplicate",F39="late"),OR(H39="yes",H39="no"),OR(I39="success",I39="failed",I39="unknown",I39="not_sent"),OR(K39="yes",K39="no",K39="none",K39="conflict",K39="unknown"),OR(L39="text",L39="emoji",L39="voice",L39="none",L39="unknown"),OR(M39="yes",M39="no",M39="unknown"),OR(N39="yes",N39="no",N39="unknown"),ISNUMBER(O39),OR(O39=0,O39=1),OR(P39="",P39="soft_yes",P39="forgot",P39="time_place",P39="clash",P39="travel",P39="personal",P39="unknown",P39="silent_but_came"),OR(I39&lt;&gt;"success",AND(J39&lt;&gt;"",COUNTIFS($J$2:$J$201,J39,$I$2:$I$201,"success")=1)),OR(I39&lt;&gt;"not_sent",J39=""),IF(F39="duplicate",AND(COUNTIFS($A$2:$A$201,G39,$B$2:$B$201,B39,$C$2:$C$201,C39,$F$2:$F$201,"include")=1,H39="no",I39="not_sent",K39="none",M39="no",N39="no",O39=0),AND(G39="",N39&lt;&gt;"unknown",COUNTIFS($B$2:$B$201,B39,$F$2:$F$201,"&lt;&gt;duplicate")=1)),IF(F39="include",AND(H39="yes",K39&lt;&gt;"conflict",K39&lt;&gt;"unknown",M39&lt;&gt;"unknown",IF(OR(K39="yes",K39="no"),AND(M39="yes",OR(L39="text",L39="emoji",L39="voice")),L39="none")),TRUE),IF(F39="late",AND(H39="no",I39="not_sent",K39="none",L39="none",O39=0),TRUE)),"OK","CHECK"),"CHECK"))</x:f>
      </x:c>
      <x:c r="R39" s="3"/>
    </x:row>
    <x:row r="40" ht="22" customHeight="1">
      <x:c r="A40" s="8"/>
      <x:c r="B40" s="8"/>
      <x:c r="C40" s="8"/>
      <x:c r="D40" s="8"/>
      <x:c r="E40" s="7"/>
      <x:c r="F40" s="7"/>
      <x:c r="G40" s="7"/>
      <x:c r="H40" s="7"/>
      <x:c r="I40" s="7"/>
      <x:c r="J40" s="8"/>
      <x:c r="K40" s="7"/>
      <x:c r="L40" s="7"/>
      <x:c r="M40" s="7"/>
      <x:c r="N40" s="7"/>
      <x:c r="O40" s="7"/>
      <x:c r="P40" s="7"/>
      <x:c r="Q40" s="3" t="str">
        <x:f>IF(COUNTA(A40:P40)=0,"",IFERROR(IF(AND(A40&lt;&gt;"",COUNTIF($A$2:$A$201,A40)=1,OR(LEFT(B40,2)="V-",LEFT(B40,4)="SYN-"),LEN(MID(B40,IF(LEFT(B40,2)="V-",3,5),30))&gt;0,ISNUMBER(VALUE(MID(B40,IF(LEFT(B40,2)="V-",3,5),30))),VALUE(MID(B40,IF(LEFT(B40,2)="V-",3,5),30))&gt;=0,MOD(VALUE(MID(B40,IF(LEFT(B40,2)="V-",3,5),30)),1)=0,COUNTIFS(Slots!$A$2:$A$31,"E2",Slots!$B$2:$B$31,C40)=1,ISNUMBER(SEARCH("|"&amp;D40&amp;"|","|"&amp;Settings!$B$9&amp;"|")),OR(E40="regular",E40="first"),OR(F40="include",F40="duplicate",F40="late"),OR(H40="yes",H40="no"),OR(I40="success",I40="failed",I40="unknown",I40="not_sent"),OR(K40="yes",K40="no",K40="none",K40="conflict",K40="unknown"),OR(L40="text",L40="emoji",L40="voice",L40="none",L40="unknown"),OR(M40="yes",M40="no",M40="unknown"),OR(N40="yes",N40="no",N40="unknown"),ISNUMBER(O40),OR(O40=0,O40=1),OR(P40="",P40="soft_yes",P40="forgot",P40="time_place",P40="clash",P40="travel",P40="personal",P40="unknown",P40="silent_but_came"),OR(I40&lt;&gt;"success",AND(J40&lt;&gt;"",COUNTIFS($J$2:$J$201,J40,$I$2:$I$201,"success")=1)),OR(I40&lt;&gt;"not_sent",J40=""),IF(F40="duplicate",AND(COUNTIFS($A$2:$A$201,G40,$B$2:$B$201,B40,$C$2:$C$201,C40,$F$2:$F$201,"include")=1,H40="no",I40="not_sent",K40="none",M40="no",N40="no",O40=0),AND(G40="",N40&lt;&gt;"unknown",COUNTIFS($B$2:$B$201,B40,$F$2:$F$201,"&lt;&gt;duplicate")=1)),IF(F40="include",AND(H40="yes",K40&lt;&gt;"conflict",K40&lt;&gt;"unknown",M40&lt;&gt;"unknown",IF(OR(K40="yes",K40="no"),AND(M40="yes",OR(L40="text",L40="emoji",L40="voice")),L40="none")),TRUE),IF(F40="late",AND(H40="no",I40="not_sent",K40="none",L40="none",O40=0),TRUE)),"OK","CHECK"),"CHECK"))</x:f>
      </x:c>
      <x:c r="R40" s="3"/>
    </x:row>
    <x:row r="41" ht="22" customHeight="1">
      <x:c r="A41" s="8"/>
      <x:c r="B41" s="8"/>
      <x:c r="C41" s="8"/>
      <x:c r="D41" s="8"/>
      <x:c r="E41" s="7"/>
      <x:c r="F41" s="7"/>
      <x:c r="G41" s="7"/>
      <x:c r="H41" s="7"/>
      <x:c r="I41" s="7"/>
      <x:c r="J41" s="8"/>
      <x:c r="K41" s="7"/>
      <x:c r="L41" s="7"/>
      <x:c r="M41" s="7"/>
      <x:c r="N41" s="7"/>
      <x:c r="O41" s="7"/>
      <x:c r="P41" s="7"/>
      <x:c r="Q41" s="3" t="str">
        <x:f>IF(COUNTA(A41:P41)=0,"",IFERROR(IF(AND(A41&lt;&gt;"",COUNTIF($A$2:$A$201,A41)=1,OR(LEFT(B41,2)="V-",LEFT(B41,4)="SYN-"),LEN(MID(B41,IF(LEFT(B41,2)="V-",3,5),30))&gt;0,ISNUMBER(VALUE(MID(B41,IF(LEFT(B41,2)="V-",3,5),30))),VALUE(MID(B41,IF(LEFT(B41,2)="V-",3,5),30))&gt;=0,MOD(VALUE(MID(B41,IF(LEFT(B41,2)="V-",3,5),30)),1)=0,COUNTIFS(Slots!$A$2:$A$31,"E2",Slots!$B$2:$B$31,C41)=1,ISNUMBER(SEARCH("|"&amp;D41&amp;"|","|"&amp;Settings!$B$9&amp;"|")),OR(E41="regular",E41="first"),OR(F41="include",F41="duplicate",F41="late"),OR(H41="yes",H41="no"),OR(I41="success",I41="failed",I41="unknown",I41="not_sent"),OR(K41="yes",K41="no",K41="none",K41="conflict",K41="unknown"),OR(L41="text",L41="emoji",L41="voice",L41="none",L41="unknown"),OR(M41="yes",M41="no",M41="unknown"),OR(N41="yes",N41="no",N41="unknown"),ISNUMBER(O41),OR(O41=0,O41=1),OR(P41="",P41="soft_yes",P41="forgot",P41="time_place",P41="clash",P41="travel",P41="personal",P41="unknown",P41="silent_but_came"),OR(I41&lt;&gt;"success",AND(J41&lt;&gt;"",COUNTIFS($J$2:$J$201,J41,$I$2:$I$201,"success")=1)),OR(I41&lt;&gt;"not_sent",J41=""),IF(F41="duplicate",AND(COUNTIFS($A$2:$A$201,G41,$B$2:$B$201,B41,$C$2:$C$201,C41,$F$2:$F$201,"include")=1,H41="no",I41="not_sent",K41="none",M41="no",N41="no",O41=0),AND(G41="",N41&lt;&gt;"unknown",COUNTIFS($B$2:$B$201,B41,$F$2:$F$201,"&lt;&gt;duplicate")=1)),IF(F41="include",AND(H41="yes",K41&lt;&gt;"conflict",K41&lt;&gt;"unknown",M41&lt;&gt;"unknown",IF(OR(K41="yes",K41="no"),AND(M41="yes",OR(L41="text",L41="emoji",L41="voice")),L41="none")),TRUE),IF(F41="late",AND(H41="no",I41="not_sent",K41="none",L41="none",O41=0),TRUE)),"OK","CHECK"),"CHECK"))</x:f>
      </x:c>
      <x:c r="R41" s="3"/>
    </x:row>
    <x:row r="42" ht="22" customHeight="1">
      <x:c r="A42" s="8"/>
      <x:c r="B42" s="8"/>
      <x:c r="C42" s="8"/>
      <x:c r="D42" s="8"/>
      <x:c r="E42" s="7"/>
      <x:c r="F42" s="7"/>
      <x:c r="G42" s="7"/>
      <x:c r="H42" s="7"/>
      <x:c r="I42" s="7"/>
      <x:c r="J42" s="8"/>
      <x:c r="K42" s="7"/>
      <x:c r="L42" s="7"/>
      <x:c r="M42" s="7"/>
      <x:c r="N42" s="7"/>
      <x:c r="O42" s="7"/>
      <x:c r="P42" s="7"/>
      <x:c r="Q42" s="3" t="str">
        <x:f>IF(COUNTA(A42:P42)=0,"",IFERROR(IF(AND(A42&lt;&gt;"",COUNTIF($A$2:$A$201,A42)=1,OR(LEFT(B42,2)="V-",LEFT(B42,4)="SYN-"),LEN(MID(B42,IF(LEFT(B42,2)="V-",3,5),30))&gt;0,ISNUMBER(VALUE(MID(B42,IF(LEFT(B42,2)="V-",3,5),30))),VALUE(MID(B42,IF(LEFT(B42,2)="V-",3,5),30))&gt;=0,MOD(VALUE(MID(B42,IF(LEFT(B42,2)="V-",3,5),30)),1)=0,COUNTIFS(Slots!$A$2:$A$31,"E2",Slots!$B$2:$B$31,C42)=1,ISNUMBER(SEARCH("|"&amp;D42&amp;"|","|"&amp;Settings!$B$9&amp;"|")),OR(E42="regular",E42="first"),OR(F42="include",F42="duplicate",F42="late"),OR(H42="yes",H42="no"),OR(I42="success",I42="failed",I42="unknown",I42="not_sent"),OR(K42="yes",K42="no",K42="none",K42="conflict",K42="unknown"),OR(L42="text",L42="emoji",L42="voice",L42="none",L42="unknown"),OR(M42="yes",M42="no",M42="unknown"),OR(N42="yes",N42="no",N42="unknown"),ISNUMBER(O42),OR(O42=0,O42=1),OR(P42="",P42="soft_yes",P42="forgot",P42="time_place",P42="clash",P42="travel",P42="personal",P42="unknown",P42="silent_but_came"),OR(I42&lt;&gt;"success",AND(J42&lt;&gt;"",COUNTIFS($J$2:$J$201,J42,$I$2:$I$201,"success")=1)),OR(I42&lt;&gt;"not_sent",J42=""),IF(F42="duplicate",AND(COUNTIFS($A$2:$A$201,G42,$B$2:$B$201,B42,$C$2:$C$201,C42,$F$2:$F$201,"include")=1,H42="no",I42="not_sent",K42="none",M42="no",N42="no",O42=0),AND(G42="",N42&lt;&gt;"unknown",COUNTIFS($B$2:$B$201,B42,$F$2:$F$201,"&lt;&gt;duplicate")=1)),IF(F42="include",AND(H42="yes",K42&lt;&gt;"conflict",K42&lt;&gt;"unknown",M42&lt;&gt;"unknown",IF(OR(K42="yes",K42="no"),AND(M42="yes",OR(L42="text",L42="emoji",L42="voice")),L42="none")),TRUE),IF(F42="late",AND(H42="no",I42="not_sent",K42="none",L42="none",O42=0),TRUE)),"OK","CHECK"),"CHECK"))</x:f>
      </x:c>
      <x:c r="R42" s="3"/>
    </x:row>
    <x:row r="43" ht="22" customHeight="1">
      <x:c r="A43" s="8"/>
      <x:c r="B43" s="8"/>
      <x:c r="C43" s="8"/>
      <x:c r="D43" s="8"/>
      <x:c r="E43" s="7"/>
      <x:c r="F43" s="7"/>
      <x:c r="G43" s="7"/>
      <x:c r="H43" s="7"/>
      <x:c r="I43" s="7"/>
      <x:c r="J43" s="8"/>
      <x:c r="K43" s="7"/>
      <x:c r="L43" s="7"/>
      <x:c r="M43" s="7"/>
      <x:c r="N43" s="7"/>
      <x:c r="O43" s="7"/>
      <x:c r="P43" s="7"/>
      <x:c r="Q43" s="3" t="str">
        <x:f>IF(COUNTA(A43:P43)=0,"",IFERROR(IF(AND(A43&lt;&gt;"",COUNTIF($A$2:$A$201,A43)=1,OR(LEFT(B43,2)="V-",LEFT(B43,4)="SYN-"),LEN(MID(B43,IF(LEFT(B43,2)="V-",3,5),30))&gt;0,ISNUMBER(VALUE(MID(B43,IF(LEFT(B43,2)="V-",3,5),30))),VALUE(MID(B43,IF(LEFT(B43,2)="V-",3,5),30))&gt;=0,MOD(VALUE(MID(B43,IF(LEFT(B43,2)="V-",3,5),30)),1)=0,COUNTIFS(Slots!$A$2:$A$31,"E2",Slots!$B$2:$B$31,C43)=1,ISNUMBER(SEARCH("|"&amp;D43&amp;"|","|"&amp;Settings!$B$9&amp;"|")),OR(E43="regular",E43="first"),OR(F43="include",F43="duplicate",F43="late"),OR(H43="yes",H43="no"),OR(I43="success",I43="failed",I43="unknown",I43="not_sent"),OR(K43="yes",K43="no",K43="none",K43="conflict",K43="unknown"),OR(L43="text",L43="emoji",L43="voice",L43="none",L43="unknown"),OR(M43="yes",M43="no",M43="unknown"),OR(N43="yes",N43="no",N43="unknown"),ISNUMBER(O43),OR(O43=0,O43=1),OR(P43="",P43="soft_yes",P43="forgot",P43="time_place",P43="clash",P43="travel",P43="personal",P43="unknown",P43="silent_but_came"),OR(I43&lt;&gt;"success",AND(J43&lt;&gt;"",COUNTIFS($J$2:$J$201,J43,$I$2:$I$201,"success")=1)),OR(I43&lt;&gt;"not_sent",J43=""),IF(F43="duplicate",AND(COUNTIFS($A$2:$A$201,G43,$B$2:$B$201,B43,$C$2:$C$201,C43,$F$2:$F$201,"include")=1,H43="no",I43="not_sent",K43="none",M43="no",N43="no",O43=0),AND(G43="",N43&lt;&gt;"unknown",COUNTIFS($B$2:$B$201,B43,$F$2:$F$201,"&lt;&gt;duplicate")=1)),IF(F43="include",AND(H43="yes",K43&lt;&gt;"conflict",K43&lt;&gt;"unknown",M43&lt;&gt;"unknown",IF(OR(K43="yes",K43="no"),AND(M43="yes",OR(L43="text",L43="emoji",L43="voice")),L43="none")),TRUE),IF(F43="late",AND(H43="no",I43="not_sent",K43="none",L43="none",O43=0),TRUE)),"OK","CHECK"),"CHECK"))</x:f>
      </x:c>
      <x:c r="R43" s="3"/>
    </x:row>
    <x:row r="44" ht="22" customHeight="1">
      <x:c r="A44" s="8"/>
      <x:c r="B44" s="8"/>
      <x:c r="C44" s="8"/>
      <x:c r="D44" s="8"/>
      <x:c r="E44" s="7"/>
      <x:c r="F44" s="7"/>
      <x:c r="G44" s="7"/>
      <x:c r="H44" s="7"/>
      <x:c r="I44" s="7"/>
      <x:c r="J44" s="8"/>
      <x:c r="K44" s="7"/>
      <x:c r="L44" s="7"/>
      <x:c r="M44" s="7"/>
      <x:c r="N44" s="7"/>
      <x:c r="O44" s="7"/>
      <x:c r="P44" s="7"/>
      <x:c r="Q44" s="3" t="str">
        <x:f>IF(COUNTA(A44:P44)=0,"",IFERROR(IF(AND(A44&lt;&gt;"",COUNTIF($A$2:$A$201,A44)=1,OR(LEFT(B44,2)="V-",LEFT(B44,4)="SYN-"),LEN(MID(B44,IF(LEFT(B44,2)="V-",3,5),30))&gt;0,ISNUMBER(VALUE(MID(B44,IF(LEFT(B44,2)="V-",3,5),30))),VALUE(MID(B44,IF(LEFT(B44,2)="V-",3,5),30))&gt;=0,MOD(VALUE(MID(B44,IF(LEFT(B44,2)="V-",3,5),30)),1)=0,COUNTIFS(Slots!$A$2:$A$31,"E2",Slots!$B$2:$B$31,C44)=1,ISNUMBER(SEARCH("|"&amp;D44&amp;"|","|"&amp;Settings!$B$9&amp;"|")),OR(E44="regular",E44="first"),OR(F44="include",F44="duplicate",F44="late"),OR(H44="yes",H44="no"),OR(I44="success",I44="failed",I44="unknown",I44="not_sent"),OR(K44="yes",K44="no",K44="none",K44="conflict",K44="unknown"),OR(L44="text",L44="emoji",L44="voice",L44="none",L44="unknown"),OR(M44="yes",M44="no",M44="unknown"),OR(N44="yes",N44="no",N44="unknown"),ISNUMBER(O44),OR(O44=0,O44=1),OR(P44="",P44="soft_yes",P44="forgot",P44="time_place",P44="clash",P44="travel",P44="personal",P44="unknown",P44="silent_but_came"),OR(I44&lt;&gt;"success",AND(J44&lt;&gt;"",COUNTIFS($J$2:$J$201,J44,$I$2:$I$201,"success")=1)),OR(I44&lt;&gt;"not_sent",J44=""),IF(F44="duplicate",AND(COUNTIFS($A$2:$A$201,G44,$B$2:$B$201,B44,$C$2:$C$201,C44,$F$2:$F$201,"include")=1,H44="no",I44="not_sent",K44="none",M44="no",N44="no",O44=0),AND(G44="",N44&lt;&gt;"unknown",COUNTIFS($B$2:$B$201,B44,$F$2:$F$201,"&lt;&gt;duplicate")=1)),IF(F44="include",AND(H44="yes",K44&lt;&gt;"conflict",K44&lt;&gt;"unknown",M44&lt;&gt;"unknown",IF(OR(K44="yes",K44="no"),AND(M44="yes",OR(L44="text",L44="emoji",L44="voice")),L44="none")),TRUE),IF(F44="late",AND(H44="no",I44="not_sent",K44="none",L44="none",O44=0),TRUE)),"OK","CHECK"),"CHECK"))</x:f>
      </x:c>
      <x:c r="R44" s="3"/>
    </x:row>
    <x:row r="45" ht="22" customHeight="1">
      <x:c r="A45" s="8"/>
      <x:c r="B45" s="8"/>
      <x:c r="C45" s="8"/>
      <x:c r="D45" s="8"/>
      <x:c r="E45" s="7"/>
      <x:c r="F45" s="7"/>
      <x:c r="G45" s="7"/>
      <x:c r="H45" s="7"/>
      <x:c r="I45" s="7"/>
      <x:c r="J45" s="8"/>
      <x:c r="K45" s="7"/>
      <x:c r="L45" s="7"/>
      <x:c r="M45" s="7"/>
      <x:c r="N45" s="7"/>
      <x:c r="O45" s="7"/>
      <x:c r="P45" s="7"/>
      <x:c r="Q45" s="3" t="str">
        <x:f>IF(COUNTA(A45:P45)=0,"",IFERROR(IF(AND(A45&lt;&gt;"",COUNTIF($A$2:$A$201,A45)=1,OR(LEFT(B45,2)="V-",LEFT(B45,4)="SYN-"),LEN(MID(B45,IF(LEFT(B45,2)="V-",3,5),30))&gt;0,ISNUMBER(VALUE(MID(B45,IF(LEFT(B45,2)="V-",3,5),30))),VALUE(MID(B45,IF(LEFT(B45,2)="V-",3,5),30))&gt;=0,MOD(VALUE(MID(B45,IF(LEFT(B45,2)="V-",3,5),30)),1)=0,COUNTIFS(Slots!$A$2:$A$31,"E2",Slots!$B$2:$B$31,C45)=1,ISNUMBER(SEARCH("|"&amp;D45&amp;"|","|"&amp;Settings!$B$9&amp;"|")),OR(E45="regular",E45="first"),OR(F45="include",F45="duplicate",F45="late"),OR(H45="yes",H45="no"),OR(I45="success",I45="failed",I45="unknown",I45="not_sent"),OR(K45="yes",K45="no",K45="none",K45="conflict",K45="unknown"),OR(L45="text",L45="emoji",L45="voice",L45="none",L45="unknown"),OR(M45="yes",M45="no",M45="unknown"),OR(N45="yes",N45="no",N45="unknown"),ISNUMBER(O45),OR(O45=0,O45=1),OR(P45="",P45="soft_yes",P45="forgot",P45="time_place",P45="clash",P45="travel",P45="personal",P45="unknown",P45="silent_but_came"),OR(I45&lt;&gt;"success",AND(J45&lt;&gt;"",COUNTIFS($J$2:$J$201,J45,$I$2:$I$201,"success")=1)),OR(I45&lt;&gt;"not_sent",J45=""),IF(F45="duplicate",AND(COUNTIFS($A$2:$A$201,G45,$B$2:$B$201,B45,$C$2:$C$201,C45,$F$2:$F$201,"include")=1,H45="no",I45="not_sent",K45="none",M45="no",N45="no",O45=0),AND(G45="",N45&lt;&gt;"unknown",COUNTIFS($B$2:$B$201,B45,$F$2:$F$201,"&lt;&gt;duplicate")=1)),IF(F45="include",AND(H45="yes",K45&lt;&gt;"conflict",K45&lt;&gt;"unknown",M45&lt;&gt;"unknown",IF(OR(K45="yes",K45="no"),AND(M45="yes",OR(L45="text",L45="emoji",L45="voice")),L45="none")),TRUE),IF(F45="late",AND(H45="no",I45="not_sent",K45="none",L45="none",O45=0),TRUE)),"OK","CHECK"),"CHECK"))</x:f>
      </x:c>
      <x:c r="R45" s="3"/>
    </x:row>
    <x:row r="46" ht="22" customHeight="1">
      <x:c r="A46" s="8"/>
      <x:c r="B46" s="8"/>
      <x:c r="C46" s="8"/>
      <x:c r="D46" s="8"/>
      <x:c r="E46" s="7"/>
      <x:c r="F46" s="7"/>
      <x:c r="G46" s="7"/>
      <x:c r="H46" s="7"/>
      <x:c r="I46" s="7"/>
      <x:c r="J46" s="8"/>
      <x:c r="K46" s="7"/>
      <x:c r="L46" s="7"/>
      <x:c r="M46" s="7"/>
      <x:c r="N46" s="7"/>
      <x:c r="O46" s="7"/>
      <x:c r="P46" s="7"/>
      <x:c r="Q46" s="3" t="str">
        <x:f>IF(COUNTA(A46:P46)=0,"",IFERROR(IF(AND(A46&lt;&gt;"",COUNTIF($A$2:$A$201,A46)=1,OR(LEFT(B46,2)="V-",LEFT(B46,4)="SYN-"),LEN(MID(B46,IF(LEFT(B46,2)="V-",3,5),30))&gt;0,ISNUMBER(VALUE(MID(B46,IF(LEFT(B46,2)="V-",3,5),30))),VALUE(MID(B46,IF(LEFT(B46,2)="V-",3,5),30))&gt;=0,MOD(VALUE(MID(B46,IF(LEFT(B46,2)="V-",3,5),30)),1)=0,COUNTIFS(Slots!$A$2:$A$31,"E2",Slots!$B$2:$B$31,C46)=1,ISNUMBER(SEARCH("|"&amp;D46&amp;"|","|"&amp;Settings!$B$9&amp;"|")),OR(E46="regular",E46="first"),OR(F46="include",F46="duplicate",F46="late"),OR(H46="yes",H46="no"),OR(I46="success",I46="failed",I46="unknown",I46="not_sent"),OR(K46="yes",K46="no",K46="none",K46="conflict",K46="unknown"),OR(L46="text",L46="emoji",L46="voice",L46="none",L46="unknown"),OR(M46="yes",M46="no",M46="unknown"),OR(N46="yes",N46="no",N46="unknown"),ISNUMBER(O46),OR(O46=0,O46=1),OR(P46="",P46="soft_yes",P46="forgot",P46="time_place",P46="clash",P46="travel",P46="personal",P46="unknown",P46="silent_but_came"),OR(I46&lt;&gt;"success",AND(J46&lt;&gt;"",COUNTIFS($J$2:$J$201,J46,$I$2:$I$201,"success")=1)),OR(I46&lt;&gt;"not_sent",J46=""),IF(F46="duplicate",AND(COUNTIFS($A$2:$A$201,G46,$B$2:$B$201,B46,$C$2:$C$201,C46,$F$2:$F$201,"include")=1,H46="no",I46="not_sent",K46="none",M46="no",N46="no",O46=0),AND(G46="",N46&lt;&gt;"unknown",COUNTIFS($B$2:$B$201,B46,$F$2:$F$201,"&lt;&gt;duplicate")=1)),IF(F46="include",AND(H46="yes",K46&lt;&gt;"conflict",K46&lt;&gt;"unknown",M46&lt;&gt;"unknown",IF(OR(K46="yes",K46="no"),AND(M46="yes",OR(L46="text",L46="emoji",L46="voice")),L46="none")),TRUE),IF(F46="late",AND(H46="no",I46="not_sent",K46="none",L46="none",O46=0),TRUE)),"OK","CHECK"),"CHECK"))</x:f>
      </x:c>
      <x:c r="R46" s="3"/>
    </x:row>
    <x:row r="47" ht="22" customHeight="1">
      <x:c r="A47" s="8"/>
      <x:c r="B47" s="8"/>
      <x:c r="C47" s="8"/>
      <x:c r="D47" s="8"/>
      <x:c r="E47" s="7"/>
      <x:c r="F47" s="7"/>
      <x:c r="G47" s="7"/>
      <x:c r="H47" s="7"/>
      <x:c r="I47" s="7"/>
      <x:c r="J47" s="8"/>
      <x:c r="K47" s="7"/>
      <x:c r="L47" s="7"/>
      <x:c r="M47" s="7"/>
      <x:c r="N47" s="7"/>
      <x:c r="O47" s="7"/>
      <x:c r="P47" s="7"/>
      <x:c r="Q47" s="3" t="str">
        <x:f>IF(COUNTA(A47:P47)=0,"",IFERROR(IF(AND(A47&lt;&gt;"",COUNTIF($A$2:$A$201,A47)=1,OR(LEFT(B47,2)="V-",LEFT(B47,4)="SYN-"),LEN(MID(B47,IF(LEFT(B47,2)="V-",3,5),30))&gt;0,ISNUMBER(VALUE(MID(B47,IF(LEFT(B47,2)="V-",3,5),30))),VALUE(MID(B47,IF(LEFT(B47,2)="V-",3,5),30))&gt;=0,MOD(VALUE(MID(B47,IF(LEFT(B47,2)="V-",3,5),30)),1)=0,COUNTIFS(Slots!$A$2:$A$31,"E2",Slots!$B$2:$B$31,C47)=1,ISNUMBER(SEARCH("|"&amp;D47&amp;"|","|"&amp;Settings!$B$9&amp;"|")),OR(E47="regular",E47="first"),OR(F47="include",F47="duplicate",F47="late"),OR(H47="yes",H47="no"),OR(I47="success",I47="failed",I47="unknown",I47="not_sent"),OR(K47="yes",K47="no",K47="none",K47="conflict",K47="unknown"),OR(L47="text",L47="emoji",L47="voice",L47="none",L47="unknown"),OR(M47="yes",M47="no",M47="unknown"),OR(N47="yes",N47="no",N47="unknown"),ISNUMBER(O47),OR(O47=0,O47=1),OR(P47="",P47="soft_yes",P47="forgot",P47="time_place",P47="clash",P47="travel",P47="personal",P47="unknown",P47="silent_but_came"),OR(I47&lt;&gt;"success",AND(J47&lt;&gt;"",COUNTIFS($J$2:$J$201,J47,$I$2:$I$201,"success")=1)),OR(I47&lt;&gt;"not_sent",J47=""),IF(F47="duplicate",AND(COUNTIFS($A$2:$A$201,G47,$B$2:$B$201,B47,$C$2:$C$201,C47,$F$2:$F$201,"include")=1,H47="no",I47="not_sent",K47="none",M47="no",N47="no",O47=0),AND(G47="",N47&lt;&gt;"unknown",COUNTIFS($B$2:$B$201,B47,$F$2:$F$201,"&lt;&gt;duplicate")=1)),IF(F47="include",AND(H47="yes",K47&lt;&gt;"conflict",K47&lt;&gt;"unknown",M47&lt;&gt;"unknown",IF(OR(K47="yes",K47="no"),AND(M47="yes",OR(L47="text",L47="emoji",L47="voice")),L47="none")),TRUE),IF(F47="late",AND(H47="no",I47="not_sent",K47="none",L47="none",O47=0),TRUE)),"OK","CHECK"),"CHECK"))</x:f>
      </x:c>
      <x:c r="R47" s="3"/>
    </x:row>
    <x:row r="48" ht="22" customHeight="1">
      <x:c r="A48" s="8"/>
      <x:c r="B48" s="8"/>
      <x:c r="C48" s="8"/>
      <x:c r="D48" s="8"/>
      <x:c r="E48" s="7"/>
      <x:c r="F48" s="7"/>
      <x:c r="G48" s="7"/>
      <x:c r="H48" s="7"/>
      <x:c r="I48" s="7"/>
      <x:c r="J48" s="8"/>
      <x:c r="K48" s="7"/>
      <x:c r="L48" s="7"/>
      <x:c r="M48" s="7"/>
      <x:c r="N48" s="7"/>
      <x:c r="O48" s="7"/>
      <x:c r="P48" s="7"/>
      <x:c r="Q48" s="3" t="str">
        <x:f>IF(COUNTA(A48:P48)=0,"",IFERROR(IF(AND(A48&lt;&gt;"",COUNTIF($A$2:$A$201,A48)=1,OR(LEFT(B48,2)="V-",LEFT(B48,4)="SYN-"),LEN(MID(B48,IF(LEFT(B48,2)="V-",3,5),30))&gt;0,ISNUMBER(VALUE(MID(B48,IF(LEFT(B48,2)="V-",3,5),30))),VALUE(MID(B48,IF(LEFT(B48,2)="V-",3,5),30))&gt;=0,MOD(VALUE(MID(B48,IF(LEFT(B48,2)="V-",3,5),30)),1)=0,COUNTIFS(Slots!$A$2:$A$31,"E2",Slots!$B$2:$B$31,C48)=1,ISNUMBER(SEARCH("|"&amp;D48&amp;"|","|"&amp;Settings!$B$9&amp;"|")),OR(E48="regular",E48="first"),OR(F48="include",F48="duplicate",F48="late"),OR(H48="yes",H48="no"),OR(I48="success",I48="failed",I48="unknown",I48="not_sent"),OR(K48="yes",K48="no",K48="none",K48="conflict",K48="unknown"),OR(L48="text",L48="emoji",L48="voice",L48="none",L48="unknown"),OR(M48="yes",M48="no",M48="unknown"),OR(N48="yes",N48="no",N48="unknown"),ISNUMBER(O48),OR(O48=0,O48=1),OR(P48="",P48="soft_yes",P48="forgot",P48="time_place",P48="clash",P48="travel",P48="personal",P48="unknown",P48="silent_but_came"),OR(I48&lt;&gt;"success",AND(J48&lt;&gt;"",COUNTIFS($J$2:$J$201,J48,$I$2:$I$201,"success")=1)),OR(I48&lt;&gt;"not_sent",J48=""),IF(F48="duplicate",AND(COUNTIFS($A$2:$A$201,G48,$B$2:$B$201,B48,$C$2:$C$201,C48,$F$2:$F$201,"include")=1,H48="no",I48="not_sent",K48="none",M48="no",N48="no",O48=0),AND(G48="",N48&lt;&gt;"unknown",COUNTIFS($B$2:$B$201,B48,$F$2:$F$201,"&lt;&gt;duplicate")=1)),IF(F48="include",AND(H48="yes",K48&lt;&gt;"conflict",K48&lt;&gt;"unknown",M48&lt;&gt;"unknown",IF(OR(K48="yes",K48="no"),AND(M48="yes",OR(L48="text",L48="emoji",L48="voice")),L48="none")),TRUE),IF(F48="late",AND(H48="no",I48="not_sent",K48="none",L48="none",O48=0),TRUE)),"OK","CHECK"),"CHECK"))</x:f>
      </x:c>
      <x:c r="R48" s="3"/>
    </x:row>
    <x:row r="49" ht="22" customHeight="1">
      <x:c r="A49" s="8"/>
      <x:c r="B49" s="8"/>
      <x:c r="C49" s="8"/>
      <x:c r="D49" s="8"/>
      <x:c r="E49" s="7"/>
      <x:c r="F49" s="7"/>
      <x:c r="G49" s="7"/>
      <x:c r="H49" s="7"/>
      <x:c r="I49" s="7"/>
      <x:c r="J49" s="8"/>
      <x:c r="K49" s="7"/>
      <x:c r="L49" s="7"/>
      <x:c r="M49" s="7"/>
      <x:c r="N49" s="7"/>
      <x:c r="O49" s="7"/>
      <x:c r="P49" s="7"/>
      <x:c r="Q49" s="3" t="str">
        <x:f>IF(COUNTA(A49:P49)=0,"",IFERROR(IF(AND(A49&lt;&gt;"",COUNTIF($A$2:$A$201,A49)=1,OR(LEFT(B49,2)="V-",LEFT(B49,4)="SYN-"),LEN(MID(B49,IF(LEFT(B49,2)="V-",3,5),30))&gt;0,ISNUMBER(VALUE(MID(B49,IF(LEFT(B49,2)="V-",3,5),30))),VALUE(MID(B49,IF(LEFT(B49,2)="V-",3,5),30))&gt;=0,MOD(VALUE(MID(B49,IF(LEFT(B49,2)="V-",3,5),30)),1)=0,COUNTIFS(Slots!$A$2:$A$31,"E2",Slots!$B$2:$B$31,C49)=1,ISNUMBER(SEARCH("|"&amp;D49&amp;"|","|"&amp;Settings!$B$9&amp;"|")),OR(E49="regular",E49="first"),OR(F49="include",F49="duplicate",F49="late"),OR(H49="yes",H49="no"),OR(I49="success",I49="failed",I49="unknown",I49="not_sent"),OR(K49="yes",K49="no",K49="none",K49="conflict",K49="unknown"),OR(L49="text",L49="emoji",L49="voice",L49="none",L49="unknown"),OR(M49="yes",M49="no",M49="unknown"),OR(N49="yes",N49="no",N49="unknown"),ISNUMBER(O49),OR(O49=0,O49=1),OR(P49="",P49="soft_yes",P49="forgot",P49="time_place",P49="clash",P49="travel",P49="personal",P49="unknown",P49="silent_but_came"),OR(I49&lt;&gt;"success",AND(J49&lt;&gt;"",COUNTIFS($J$2:$J$201,J49,$I$2:$I$201,"success")=1)),OR(I49&lt;&gt;"not_sent",J49=""),IF(F49="duplicate",AND(COUNTIFS($A$2:$A$201,G49,$B$2:$B$201,B49,$C$2:$C$201,C49,$F$2:$F$201,"include")=1,H49="no",I49="not_sent",K49="none",M49="no",N49="no",O49=0),AND(G49="",N49&lt;&gt;"unknown",COUNTIFS($B$2:$B$201,B49,$F$2:$F$201,"&lt;&gt;duplicate")=1)),IF(F49="include",AND(H49="yes",K49&lt;&gt;"conflict",K49&lt;&gt;"unknown",M49&lt;&gt;"unknown",IF(OR(K49="yes",K49="no"),AND(M49="yes",OR(L49="text",L49="emoji",L49="voice")),L49="none")),TRUE),IF(F49="late",AND(H49="no",I49="not_sent",K49="none",L49="none",O49=0),TRUE)),"OK","CHECK"),"CHECK"))</x:f>
      </x:c>
      <x:c r="R49" s="3"/>
    </x:row>
    <x:row r="50" ht="22" customHeight="1">
      <x:c r="A50" s="8"/>
      <x:c r="B50" s="8"/>
      <x:c r="C50" s="8"/>
      <x:c r="D50" s="8"/>
      <x:c r="E50" s="7"/>
      <x:c r="F50" s="7"/>
      <x:c r="G50" s="7"/>
      <x:c r="H50" s="7"/>
      <x:c r="I50" s="7"/>
      <x:c r="J50" s="8"/>
      <x:c r="K50" s="7"/>
      <x:c r="L50" s="7"/>
      <x:c r="M50" s="7"/>
      <x:c r="N50" s="7"/>
      <x:c r="O50" s="7"/>
      <x:c r="P50" s="7"/>
      <x:c r="Q50" s="3" t="str">
        <x:f>IF(COUNTA(A50:P50)=0,"",IFERROR(IF(AND(A50&lt;&gt;"",COUNTIF($A$2:$A$201,A50)=1,OR(LEFT(B50,2)="V-",LEFT(B50,4)="SYN-"),LEN(MID(B50,IF(LEFT(B50,2)="V-",3,5),30))&gt;0,ISNUMBER(VALUE(MID(B50,IF(LEFT(B50,2)="V-",3,5),30))),VALUE(MID(B50,IF(LEFT(B50,2)="V-",3,5),30))&gt;=0,MOD(VALUE(MID(B50,IF(LEFT(B50,2)="V-",3,5),30)),1)=0,COUNTIFS(Slots!$A$2:$A$31,"E2",Slots!$B$2:$B$31,C50)=1,ISNUMBER(SEARCH("|"&amp;D50&amp;"|","|"&amp;Settings!$B$9&amp;"|")),OR(E50="regular",E50="first"),OR(F50="include",F50="duplicate",F50="late"),OR(H50="yes",H50="no"),OR(I50="success",I50="failed",I50="unknown",I50="not_sent"),OR(K50="yes",K50="no",K50="none",K50="conflict",K50="unknown"),OR(L50="text",L50="emoji",L50="voice",L50="none",L50="unknown"),OR(M50="yes",M50="no",M50="unknown"),OR(N50="yes",N50="no",N50="unknown"),ISNUMBER(O50),OR(O50=0,O50=1),OR(P50="",P50="soft_yes",P50="forgot",P50="time_place",P50="clash",P50="travel",P50="personal",P50="unknown",P50="silent_but_came"),OR(I50&lt;&gt;"success",AND(J50&lt;&gt;"",COUNTIFS($J$2:$J$201,J50,$I$2:$I$201,"success")=1)),OR(I50&lt;&gt;"not_sent",J50=""),IF(F50="duplicate",AND(COUNTIFS($A$2:$A$201,G50,$B$2:$B$201,B50,$C$2:$C$201,C50,$F$2:$F$201,"include")=1,H50="no",I50="not_sent",K50="none",M50="no",N50="no",O50=0),AND(G50="",N50&lt;&gt;"unknown",COUNTIFS($B$2:$B$201,B50,$F$2:$F$201,"&lt;&gt;duplicate")=1)),IF(F50="include",AND(H50="yes",K50&lt;&gt;"conflict",K50&lt;&gt;"unknown",M50&lt;&gt;"unknown",IF(OR(K50="yes",K50="no"),AND(M50="yes",OR(L50="text",L50="emoji",L50="voice")),L50="none")),TRUE),IF(F50="late",AND(H50="no",I50="not_sent",K50="none",L50="none",O50=0),TRUE)),"OK","CHECK"),"CHECK"))</x:f>
      </x:c>
      <x:c r="R50" s="3"/>
    </x:row>
    <x:row r="51" ht="22" customHeight="1">
      <x:c r="A51" s="8"/>
      <x:c r="B51" s="8"/>
      <x:c r="C51" s="8"/>
      <x:c r="D51" s="8"/>
      <x:c r="E51" s="7"/>
      <x:c r="F51" s="7"/>
      <x:c r="G51" s="7"/>
      <x:c r="H51" s="7"/>
      <x:c r="I51" s="7"/>
      <x:c r="J51" s="8"/>
      <x:c r="K51" s="7"/>
      <x:c r="L51" s="7"/>
      <x:c r="M51" s="7"/>
      <x:c r="N51" s="7"/>
      <x:c r="O51" s="7"/>
      <x:c r="P51" s="7"/>
      <x:c r="Q51" s="3" t="str">
        <x:f>IF(COUNTA(A51:P51)=0,"",IFERROR(IF(AND(A51&lt;&gt;"",COUNTIF($A$2:$A$201,A51)=1,OR(LEFT(B51,2)="V-",LEFT(B51,4)="SYN-"),LEN(MID(B51,IF(LEFT(B51,2)="V-",3,5),30))&gt;0,ISNUMBER(VALUE(MID(B51,IF(LEFT(B51,2)="V-",3,5),30))),VALUE(MID(B51,IF(LEFT(B51,2)="V-",3,5),30))&gt;=0,MOD(VALUE(MID(B51,IF(LEFT(B51,2)="V-",3,5),30)),1)=0,COUNTIFS(Slots!$A$2:$A$31,"E2",Slots!$B$2:$B$31,C51)=1,ISNUMBER(SEARCH("|"&amp;D51&amp;"|","|"&amp;Settings!$B$9&amp;"|")),OR(E51="regular",E51="first"),OR(F51="include",F51="duplicate",F51="late"),OR(H51="yes",H51="no"),OR(I51="success",I51="failed",I51="unknown",I51="not_sent"),OR(K51="yes",K51="no",K51="none",K51="conflict",K51="unknown"),OR(L51="text",L51="emoji",L51="voice",L51="none",L51="unknown"),OR(M51="yes",M51="no",M51="unknown"),OR(N51="yes",N51="no",N51="unknown"),ISNUMBER(O51),OR(O51=0,O51=1),OR(P51="",P51="soft_yes",P51="forgot",P51="time_place",P51="clash",P51="travel",P51="personal",P51="unknown",P51="silent_but_came"),OR(I51&lt;&gt;"success",AND(J51&lt;&gt;"",COUNTIFS($J$2:$J$201,J51,$I$2:$I$201,"success")=1)),OR(I51&lt;&gt;"not_sent",J51=""),IF(F51="duplicate",AND(COUNTIFS($A$2:$A$201,G51,$B$2:$B$201,B51,$C$2:$C$201,C51,$F$2:$F$201,"include")=1,H51="no",I51="not_sent",K51="none",M51="no",N51="no",O51=0),AND(G51="",N51&lt;&gt;"unknown",COUNTIFS($B$2:$B$201,B51,$F$2:$F$201,"&lt;&gt;duplicate")=1)),IF(F51="include",AND(H51="yes",K51&lt;&gt;"conflict",K51&lt;&gt;"unknown",M51&lt;&gt;"unknown",IF(OR(K51="yes",K51="no"),AND(M51="yes",OR(L51="text",L51="emoji",L51="voice")),L51="none")),TRUE),IF(F51="late",AND(H51="no",I51="not_sent",K51="none",L51="none",O51=0),TRUE)),"OK","CHECK"),"CHECK"))</x:f>
      </x:c>
      <x:c r="R51" s="3"/>
    </x:row>
    <x:row r="52" ht="22" customHeight="1">
      <x:c r="A52" s="8"/>
      <x:c r="B52" s="8"/>
      <x:c r="C52" s="8"/>
      <x:c r="D52" s="8"/>
      <x:c r="E52" s="7"/>
      <x:c r="F52" s="7"/>
      <x:c r="G52" s="7"/>
      <x:c r="H52" s="7"/>
      <x:c r="I52" s="7"/>
      <x:c r="J52" s="8"/>
      <x:c r="K52" s="7"/>
      <x:c r="L52" s="7"/>
      <x:c r="M52" s="7"/>
      <x:c r="N52" s="7"/>
      <x:c r="O52" s="7"/>
      <x:c r="P52" s="7"/>
      <x:c r="Q52" s="3" t="str">
        <x:f>IF(COUNTA(A52:P52)=0,"",IFERROR(IF(AND(A52&lt;&gt;"",COUNTIF($A$2:$A$201,A52)=1,OR(LEFT(B52,2)="V-",LEFT(B52,4)="SYN-"),LEN(MID(B52,IF(LEFT(B52,2)="V-",3,5),30))&gt;0,ISNUMBER(VALUE(MID(B52,IF(LEFT(B52,2)="V-",3,5),30))),VALUE(MID(B52,IF(LEFT(B52,2)="V-",3,5),30))&gt;=0,MOD(VALUE(MID(B52,IF(LEFT(B52,2)="V-",3,5),30)),1)=0,COUNTIFS(Slots!$A$2:$A$31,"E2",Slots!$B$2:$B$31,C52)=1,ISNUMBER(SEARCH("|"&amp;D52&amp;"|","|"&amp;Settings!$B$9&amp;"|")),OR(E52="regular",E52="first"),OR(F52="include",F52="duplicate",F52="late"),OR(H52="yes",H52="no"),OR(I52="success",I52="failed",I52="unknown",I52="not_sent"),OR(K52="yes",K52="no",K52="none",K52="conflict",K52="unknown"),OR(L52="text",L52="emoji",L52="voice",L52="none",L52="unknown"),OR(M52="yes",M52="no",M52="unknown"),OR(N52="yes",N52="no",N52="unknown"),ISNUMBER(O52),OR(O52=0,O52=1),OR(P52="",P52="soft_yes",P52="forgot",P52="time_place",P52="clash",P52="travel",P52="personal",P52="unknown",P52="silent_but_came"),OR(I52&lt;&gt;"success",AND(J52&lt;&gt;"",COUNTIFS($J$2:$J$201,J52,$I$2:$I$201,"success")=1)),OR(I52&lt;&gt;"not_sent",J52=""),IF(F52="duplicate",AND(COUNTIFS($A$2:$A$201,G52,$B$2:$B$201,B52,$C$2:$C$201,C52,$F$2:$F$201,"include")=1,H52="no",I52="not_sent",K52="none",M52="no",N52="no",O52=0),AND(G52="",N52&lt;&gt;"unknown",COUNTIFS($B$2:$B$201,B52,$F$2:$F$201,"&lt;&gt;duplicate")=1)),IF(F52="include",AND(H52="yes",K52&lt;&gt;"conflict",K52&lt;&gt;"unknown",M52&lt;&gt;"unknown",IF(OR(K52="yes",K52="no"),AND(M52="yes",OR(L52="text",L52="emoji",L52="voice")),L52="none")),TRUE),IF(F52="late",AND(H52="no",I52="not_sent",K52="none",L52="none",O52=0),TRUE)),"OK","CHECK"),"CHECK"))</x:f>
      </x:c>
      <x:c r="R52" s="3"/>
    </x:row>
    <x:row r="53" ht="22" customHeight="1">
      <x:c r="A53" s="8"/>
      <x:c r="B53" s="8"/>
      <x:c r="C53" s="8"/>
      <x:c r="D53" s="8"/>
      <x:c r="E53" s="7"/>
      <x:c r="F53" s="7"/>
      <x:c r="G53" s="7"/>
      <x:c r="H53" s="7"/>
      <x:c r="I53" s="7"/>
      <x:c r="J53" s="8"/>
      <x:c r="K53" s="7"/>
      <x:c r="L53" s="7"/>
      <x:c r="M53" s="7"/>
      <x:c r="N53" s="7"/>
      <x:c r="O53" s="7"/>
      <x:c r="P53" s="7"/>
      <x:c r="Q53" s="3" t="str">
        <x:f>IF(COUNTA(A53:P53)=0,"",IFERROR(IF(AND(A53&lt;&gt;"",COUNTIF($A$2:$A$201,A53)=1,OR(LEFT(B53,2)="V-",LEFT(B53,4)="SYN-"),LEN(MID(B53,IF(LEFT(B53,2)="V-",3,5),30))&gt;0,ISNUMBER(VALUE(MID(B53,IF(LEFT(B53,2)="V-",3,5),30))),VALUE(MID(B53,IF(LEFT(B53,2)="V-",3,5),30))&gt;=0,MOD(VALUE(MID(B53,IF(LEFT(B53,2)="V-",3,5),30)),1)=0,COUNTIFS(Slots!$A$2:$A$31,"E2",Slots!$B$2:$B$31,C53)=1,ISNUMBER(SEARCH("|"&amp;D53&amp;"|","|"&amp;Settings!$B$9&amp;"|")),OR(E53="regular",E53="first"),OR(F53="include",F53="duplicate",F53="late"),OR(H53="yes",H53="no"),OR(I53="success",I53="failed",I53="unknown",I53="not_sent"),OR(K53="yes",K53="no",K53="none",K53="conflict",K53="unknown"),OR(L53="text",L53="emoji",L53="voice",L53="none",L53="unknown"),OR(M53="yes",M53="no",M53="unknown"),OR(N53="yes",N53="no",N53="unknown"),ISNUMBER(O53),OR(O53=0,O53=1),OR(P53="",P53="soft_yes",P53="forgot",P53="time_place",P53="clash",P53="travel",P53="personal",P53="unknown",P53="silent_but_came"),OR(I53&lt;&gt;"success",AND(J53&lt;&gt;"",COUNTIFS($J$2:$J$201,J53,$I$2:$I$201,"success")=1)),OR(I53&lt;&gt;"not_sent",J53=""),IF(F53="duplicate",AND(COUNTIFS($A$2:$A$201,G53,$B$2:$B$201,B53,$C$2:$C$201,C53,$F$2:$F$201,"include")=1,H53="no",I53="not_sent",K53="none",M53="no",N53="no",O53=0),AND(G53="",N53&lt;&gt;"unknown",COUNTIFS($B$2:$B$201,B53,$F$2:$F$201,"&lt;&gt;duplicate")=1)),IF(F53="include",AND(H53="yes",K53&lt;&gt;"conflict",K53&lt;&gt;"unknown",M53&lt;&gt;"unknown",IF(OR(K53="yes",K53="no"),AND(M53="yes",OR(L53="text",L53="emoji",L53="voice")),L53="none")),TRUE),IF(F53="late",AND(H53="no",I53="not_sent",K53="none",L53="none",O53=0),TRUE)),"OK","CHECK"),"CHECK"))</x:f>
      </x:c>
      <x:c r="R53" s="3"/>
    </x:row>
    <x:row r="54" ht="22" customHeight="1">
      <x:c r="A54" s="8"/>
      <x:c r="B54" s="8"/>
      <x:c r="C54" s="8"/>
      <x:c r="D54" s="8"/>
      <x:c r="E54" s="7"/>
      <x:c r="F54" s="7"/>
      <x:c r="G54" s="7"/>
      <x:c r="H54" s="7"/>
      <x:c r="I54" s="7"/>
      <x:c r="J54" s="8"/>
      <x:c r="K54" s="7"/>
      <x:c r="L54" s="7"/>
      <x:c r="M54" s="7"/>
      <x:c r="N54" s="7"/>
      <x:c r="O54" s="7"/>
      <x:c r="P54" s="7"/>
      <x:c r="Q54" s="3" t="str">
        <x:f>IF(COUNTA(A54:P54)=0,"",IFERROR(IF(AND(A54&lt;&gt;"",COUNTIF($A$2:$A$201,A54)=1,OR(LEFT(B54,2)="V-",LEFT(B54,4)="SYN-"),LEN(MID(B54,IF(LEFT(B54,2)="V-",3,5),30))&gt;0,ISNUMBER(VALUE(MID(B54,IF(LEFT(B54,2)="V-",3,5),30))),VALUE(MID(B54,IF(LEFT(B54,2)="V-",3,5),30))&gt;=0,MOD(VALUE(MID(B54,IF(LEFT(B54,2)="V-",3,5),30)),1)=0,COUNTIFS(Slots!$A$2:$A$31,"E2",Slots!$B$2:$B$31,C54)=1,ISNUMBER(SEARCH("|"&amp;D54&amp;"|","|"&amp;Settings!$B$9&amp;"|")),OR(E54="regular",E54="first"),OR(F54="include",F54="duplicate",F54="late"),OR(H54="yes",H54="no"),OR(I54="success",I54="failed",I54="unknown",I54="not_sent"),OR(K54="yes",K54="no",K54="none",K54="conflict",K54="unknown"),OR(L54="text",L54="emoji",L54="voice",L54="none",L54="unknown"),OR(M54="yes",M54="no",M54="unknown"),OR(N54="yes",N54="no",N54="unknown"),ISNUMBER(O54),OR(O54=0,O54=1),OR(P54="",P54="soft_yes",P54="forgot",P54="time_place",P54="clash",P54="travel",P54="personal",P54="unknown",P54="silent_but_came"),OR(I54&lt;&gt;"success",AND(J54&lt;&gt;"",COUNTIFS($J$2:$J$201,J54,$I$2:$I$201,"success")=1)),OR(I54&lt;&gt;"not_sent",J54=""),IF(F54="duplicate",AND(COUNTIFS($A$2:$A$201,G54,$B$2:$B$201,B54,$C$2:$C$201,C54,$F$2:$F$201,"include")=1,H54="no",I54="not_sent",K54="none",M54="no",N54="no",O54=0),AND(G54="",N54&lt;&gt;"unknown",COUNTIFS($B$2:$B$201,B54,$F$2:$F$201,"&lt;&gt;duplicate")=1)),IF(F54="include",AND(H54="yes",K54&lt;&gt;"conflict",K54&lt;&gt;"unknown",M54&lt;&gt;"unknown",IF(OR(K54="yes",K54="no"),AND(M54="yes",OR(L54="text",L54="emoji",L54="voice")),L54="none")),TRUE),IF(F54="late",AND(H54="no",I54="not_sent",K54="none",L54="none",O54=0),TRUE)),"OK","CHECK"),"CHECK"))</x:f>
      </x:c>
      <x:c r="R54" s="3"/>
    </x:row>
    <x:row r="55" ht="22" customHeight="1">
      <x:c r="A55" s="8"/>
      <x:c r="B55" s="8"/>
      <x:c r="C55" s="8"/>
      <x:c r="D55" s="8"/>
      <x:c r="E55" s="7"/>
      <x:c r="F55" s="7"/>
      <x:c r="G55" s="7"/>
      <x:c r="H55" s="7"/>
      <x:c r="I55" s="7"/>
      <x:c r="J55" s="8"/>
      <x:c r="K55" s="7"/>
      <x:c r="L55" s="7"/>
      <x:c r="M55" s="7"/>
      <x:c r="N55" s="7"/>
      <x:c r="O55" s="7"/>
      <x:c r="P55" s="7"/>
      <x:c r="Q55" s="3" t="str">
        <x:f>IF(COUNTA(A55:P55)=0,"",IFERROR(IF(AND(A55&lt;&gt;"",COUNTIF($A$2:$A$201,A55)=1,OR(LEFT(B55,2)="V-",LEFT(B55,4)="SYN-"),LEN(MID(B55,IF(LEFT(B55,2)="V-",3,5),30))&gt;0,ISNUMBER(VALUE(MID(B55,IF(LEFT(B55,2)="V-",3,5),30))),VALUE(MID(B55,IF(LEFT(B55,2)="V-",3,5),30))&gt;=0,MOD(VALUE(MID(B55,IF(LEFT(B55,2)="V-",3,5),30)),1)=0,COUNTIFS(Slots!$A$2:$A$31,"E2",Slots!$B$2:$B$31,C55)=1,ISNUMBER(SEARCH("|"&amp;D55&amp;"|","|"&amp;Settings!$B$9&amp;"|")),OR(E55="regular",E55="first"),OR(F55="include",F55="duplicate",F55="late"),OR(H55="yes",H55="no"),OR(I55="success",I55="failed",I55="unknown",I55="not_sent"),OR(K55="yes",K55="no",K55="none",K55="conflict",K55="unknown"),OR(L55="text",L55="emoji",L55="voice",L55="none",L55="unknown"),OR(M55="yes",M55="no",M55="unknown"),OR(N55="yes",N55="no",N55="unknown"),ISNUMBER(O55),OR(O55=0,O55=1),OR(P55="",P55="soft_yes",P55="forgot",P55="time_place",P55="clash",P55="travel",P55="personal",P55="unknown",P55="silent_but_came"),OR(I55&lt;&gt;"success",AND(J55&lt;&gt;"",COUNTIFS($J$2:$J$201,J55,$I$2:$I$201,"success")=1)),OR(I55&lt;&gt;"not_sent",J55=""),IF(F55="duplicate",AND(COUNTIFS($A$2:$A$201,G55,$B$2:$B$201,B55,$C$2:$C$201,C55,$F$2:$F$201,"include")=1,H55="no",I55="not_sent",K55="none",M55="no",N55="no",O55=0),AND(G55="",N55&lt;&gt;"unknown",COUNTIFS($B$2:$B$201,B55,$F$2:$F$201,"&lt;&gt;duplicate")=1)),IF(F55="include",AND(H55="yes",K55&lt;&gt;"conflict",K55&lt;&gt;"unknown",M55&lt;&gt;"unknown",IF(OR(K55="yes",K55="no"),AND(M55="yes",OR(L55="text",L55="emoji",L55="voice")),L55="none")),TRUE),IF(F55="late",AND(H55="no",I55="not_sent",K55="none",L55="none",O55=0),TRUE)),"OK","CHECK"),"CHECK"))</x:f>
      </x:c>
      <x:c r="R55" s="3"/>
    </x:row>
    <x:row r="56" ht="22" customHeight="1">
      <x:c r="A56" s="8"/>
      <x:c r="B56" s="8"/>
      <x:c r="C56" s="8"/>
      <x:c r="D56" s="8"/>
      <x:c r="E56" s="7"/>
      <x:c r="F56" s="7"/>
      <x:c r="G56" s="7"/>
      <x:c r="H56" s="7"/>
      <x:c r="I56" s="7"/>
      <x:c r="J56" s="8"/>
      <x:c r="K56" s="7"/>
      <x:c r="L56" s="7"/>
      <x:c r="M56" s="7"/>
      <x:c r="N56" s="7"/>
      <x:c r="O56" s="7"/>
      <x:c r="P56" s="7"/>
      <x:c r="Q56" s="3" t="str">
        <x:f>IF(COUNTA(A56:P56)=0,"",IFERROR(IF(AND(A56&lt;&gt;"",COUNTIF($A$2:$A$201,A56)=1,OR(LEFT(B56,2)="V-",LEFT(B56,4)="SYN-"),LEN(MID(B56,IF(LEFT(B56,2)="V-",3,5),30))&gt;0,ISNUMBER(VALUE(MID(B56,IF(LEFT(B56,2)="V-",3,5),30))),VALUE(MID(B56,IF(LEFT(B56,2)="V-",3,5),30))&gt;=0,MOD(VALUE(MID(B56,IF(LEFT(B56,2)="V-",3,5),30)),1)=0,COUNTIFS(Slots!$A$2:$A$31,"E2",Slots!$B$2:$B$31,C56)=1,ISNUMBER(SEARCH("|"&amp;D56&amp;"|","|"&amp;Settings!$B$9&amp;"|")),OR(E56="regular",E56="first"),OR(F56="include",F56="duplicate",F56="late"),OR(H56="yes",H56="no"),OR(I56="success",I56="failed",I56="unknown",I56="not_sent"),OR(K56="yes",K56="no",K56="none",K56="conflict",K56="unknown"),OR(L56="text",L56="emoji",L56="voice",L56="none",L56="unknown"),OR(M56="yes",M56="no",M56="unknown"),OR(N56="yes",N56="no",N56="unknown"),ISNUMBER(O56),OR(O56=0,O56=1),OR(P56="",P56="soft_yes",P56="forgot",P56="time_place",P56="clash",P56="travel",P56="personal",P56="unknown",P56="silent_but_came"),OR(I56&lt;&gt;"success",AND(J56&lt;&gt;"",COUNTIFS($J$2:$J$201,J56,$I$2:$I$201,"success")=1)),OR(I56&lt;&gt;"not_sent",J56=""),IF(F56="duplicate",AND(COUNTIFS($A$2:$A$201,G56,$B$2:$B$201,B56,$C$2:$C$201,C56,$F$2:$F$201,"include")=1,H56="no",I56="not_sent",K56="none",M56="no",N56="no",O56=0),AND(G56="",N56&lt;&gt;"unknown",COUNTIFS($B$2:$B$201,B56,$F$2:$F$201,"&lt;&gt;duplicate")=1)),IF(F56="include",AND(H56="yes",K56&lt;&gt;"conflict",K56&lt;&gt;"unknown",M56&lt;&gt;"unknown",IF(OR(K56="yes",K56="no"),AND(M56="yes",OR(L56="text",L56="emoji",L56="voice")),L56="none")),TRUE),IF(F56="late",AND(H56="no",I56="not_sent",K56="none",L56="none",O56=0),TRUE)),"OK","CHECK"),"CHECK"))</x:f>
      </x:c>
      <x:c r="R56" s="3"/>
    </x:row>
    <x:row r="57" ht="22" customHeight="1">
      <x:c r="A57" s="8"/>
      <x:c r="B57" s="8"/>
      <x:c r="C57" s="8"/>
      <x:c r="D57" s="8"/>
      <x:c r="E57" s="7"/>
      <x:c r="F57" s="7"/>
      <x:c r="G57" s="7"/>
      <x:c r="H57" s="7"/>
      <x:c r="I57" s="7"/>
      <x:c r="J57" s="8"/>
      <x:c r="K57" s="7"/>
      <x:c r="L57" s="7"/>
      <x:c r="M57" s="7"/>
      <x:c r="N57" s="7"/>
      <x:c r="O57" s="7"/>
      <x:c r="P57" s="7"/>
      <x:c r="Q57" s="3" t="str">
        <x:f>IF(COUNTA(A57:P57)=0,"",IFERROR(IF(AND(A57&lt;&gt;"",COUNTIF($A$2:$A$201,A57)=1,OR(LEFT(B57,2)="V-",LEFT(B57,4)="SYN-"),LEN(MID(B57,IF(LEFT(B57,2)="V-",3,5),30))&gt;0,ISNUMBER(VALUE(MID(B57,IF(LEFT(B57,2)="V-",3,5),30))),VALUE(MID(B57,IF(LEFT(B57,2)="V-",3,5),30))&gt;=0,MOD(VALUE(MID(B57,IF(LEFT(B57,2)="V-",3,5),30)),1)=0,COUNTIFS(Slots!$A$2:$A$31,"E2",Slots!$B$2:$B$31,C57)=1,ISNUMBER(SEARCH("|"&amp;D57&amp;"|","|"&amp;Settings!$B$9&amp;"|")),OR(E57="regular",E57="first"),OR(F57="include",F57="duplicate",F57="late"),OR(H57="yes",H57="no"),OR(I57="success",I57="failed",I57="unknown",I57="not_sent"),OR(K57="yes",K57="no",K57="none",K57="conflict",K57="unknown"),OR(L57="text",L57="emoji",L57="voice",L57="none",L57="unknown"),OR(M57="yes",M57="no",M57="unknown"),OR(N57="yes",N57="no",N57="unknown"),ISNUMBER(O57),OR(O57=0,O57=1),OR(P57="",P57="soft_yes",P57="forgot",P57="time_place",P57="clash",P57="travel",P57="personal",P57="unknown",P57="silent_but_came"),OR(I57&lt;&gt;"success",AND(J57&lt;&gt;"",COUNTIFS($J$2:$J$201,J57,$I$2:$I$201,"success")=1)),OR(I57&lt;&gt;"not_sent",J57=""),IF(F57="duplicate",AND(COUNTIFS($A$2:$A$201,G57,$B$2:$B$201,B57,$C$2:$C$201,C57,$F$2:$F$201,"include")=1,H57="no",I57="not_sent",K57="none",M57="no",N57="no",O57=0),AND(G57="",N57&lt;&gt;"unknown",COUNTIFS($B$2:$B$201,B57,$F$2:$F$201,"&lt;&gt;duplicate")=1)),IF(F57="include",AND(H57="yes",K57&lt;&gt;"conflict",K57&lt;&gt;"unknown",M57&lt;&gt;"unknown",IF(OR(K57="yes",K57="no"),AND(M57="yes",OR(L57="text",L57="emoji",L57="voice")),L57="none")),TRUE),IF(F57="late",AND(H57="no",I57="not_sent",K57="none",L57="none",O57=0),TRUE)),"OK","CHECK"),"CHECK"))</x:f>
      </x:c>
      <x:c r="R57" s="3"/>
    </x:row>
    <x:row r="58" ht="22" customHeight="1">
      <x:c r="A58" s="8"/>
      <x:c r="B58" s="8"/>
      <x:c r="C58" s="8"/>
      <x:c r="D58" s="8"/>
      <x:c r="E58" s="7"/>
      <x:c r="F58" s="7"/>
      <x:c r="G58" s="7"/>
      <x:c r="H58" s="7"/>
      <x:c r="I58" s="7"/>
      <x:c r="J58" s="8"/>
      <x:c r="K58" s="7"/>
      <x:c r="L58" s="7"/>
      <x:c r="M58" s="7"/>
      <x:c r="N58" s="7"/>
      <x:c r="O58" s="7"/>
      <x:c r="P58" s="7"/>
      <x:c r="Q58" s="3" t="str">
        <x:f>IF(COUNTA(A58:P58)=0,"",IFERROR(IF(AND(A58&lt;&gt;"",COUNTIF($A$2:$A$201,A58)=1,OR(LEFT(B58,2)="V-",LEFT(B58,4)="SYN-"),LEN(MID(B58,IF(LEFT(B58,2)="V-",3,5),30))&gt;0,ISNUMBER(VALUE(MID(B58,IF(LEFT(B58,2)="V-",3,5),30))),VALUE(MID(B58,IF(LEFT(B58,2)="V-",3,5),30))&gt;=0,MOD(VALUE(MID(B58,IF(LEFT(B58,2)="V-",3,5),30)),1)=0,COUNTIFS(Slots!$A$2:$A$31,"E2",Slots!$B$2:$B$31,C58)=1,ISNUMBER(SEARCH("|"&amp;D58&amp;"|","|"&amp;Settings!$B$9&amp;"|")),OR(E58="regular",E58="first"),OR(F58="include",F58="duplicate",F58="late"),OR(H58="yes",H58="no"),OR(I58="success",I58="failed",I58="unknown",I58="not_sent"),OR(K58="yes",K58="no",K58="none",K58="conflict",K58="unknown"),OR(L58="text",L58="emoji",L58="voice",L58="none",L58="unknown"),OR(M58="yes",M58="no",M58="unknown"),OR(N58="yes",N58="no",N58="unknown"),ISNUMBER(O58),OR(O58=0,O58=1),OR(P58="",P58="soft_yes",P58="forgot",P58="time_place",P58="clash",P58="travel",P58="personal",P58="unknown",P58="silent_but_came"),OR(I58&lt;&gt;"success",AND(J58&lt;&gt;"",COUNTIFS($J$2:$J$201,J58,$I$2:$I$201,"success")=1)),OR(I58&lt;&gt;"not_sent",J58=""),IF(F58="duplicate",AND(COUNTIFS($A$2:$A$201,G58,$B$2:$B$201,B58,$C$2:$C$201,C58,$F$2:$F$201,"include")=1,H58="no",I58="not_sent",K58="none",M58="no",N58="no",O58=0),AND(G58="",N58&lt;&gt;"unknown",COUNTIFS($B$2:$B$201,B58,$F$2:$F$201,"&lt;&gt;duplicate")=1)),IF(F58="include",AND(H58="yes",K58&lt;&gt;"conflict",K58&lt;&gt;"unknown",M58&lt;&gt;"unknown",IF(OR(K58="yes",K58="no"),AND(M58="yes",OR(L58="text",L58="emoji",L58="voice")),L58="none")),TRUE),IF(F58="late",AND(H58="no",I58="not_sent",K58="none",L58="none",O58=0),TRUE)),"OK","CHECK"),"CHECK"))</x:f>
      </x:c>
      <x:c r="R58" s="3"/>
    </x:row>
    <x:row r="59" ht="22" customHeight="1">
      <x:c r="A59" s="8"/>
      <x:c r="B59" s="8"/>
      <x:c r="C59" s="8"/>
      <x:c r="D59" s="8"/>
      <x:c r="E59" s="7"/>
      <x:c r="F59" s="7"/>
      <x:c r="G59" s="7"/>
      <x:c r="H59" s="7"/>
      <x:c r="I59" s="7"/>
      <x:c r="J59" s="8"/>
      <x:c r="K59" s="7"/>
      <x:c r="L59" s="7"/>
      <x:c r="M59" s="7"/>
      <x:c r="N59" s="7"/>
      <x:c r="O59" s="7"/>
      <x:c r="P59" s="7"/>
      <x:c r="Q59" s="3" t="str">
        <x:f>IF(COUNTA(A59:P59)=0,"",IFERROR(IF(AND(A59&lt;&gt;"",COUNTIF($A$2:$A$201,A59)=1,OR(LEFT(B59,2)="V-",LEFT(B59,4)="SYN-"),LEN(MID(B59,IF(LEFT(B59,2)="V-",3,5),30))&gt;0,ISNUMBER(VALUE(MID(B59,IF(LEFT(B59,2)="V-",3,5),30))),VALUE(MID(B59,IF(LEFT(B59,2)="V-",3,5),30))&gt;=0,MOD(VALUE(MID(B59,IF(LEFT(B59,2)="V-",3,5),30)),1)=0,COUNTIFS(Slots!$A$2:$A$31,"E2",Slots!$B$2:$B$31,C59)=1,ISNUMBER(SEARCH("|"&amp;D59&amp;"|","|"&amp;Settings!$B$9&amp;"|")),OR(E59="regular",E59="first"),OR(F59="include",F59="duplicate",F59="late"),OR(H59="yes",H59="no"),OR(I59="success",I59="failed",I59="unknown",I59="not_sent"),OR(K59="yes",K59="no",K59="none",K59="conflict",K59="unknown"),OR(L59="text",L59="emoji",L59="voice",L59="none",L59="unknown"),OR(M59="yes",M59="no",M59="unknown"),OR(N59="yes",N59="no",N59="unknown"),ISNUMBER(O59),OR(O59=0,O59=1),OR(P59="",P59="soft_yes",P59="forgot",P59="time_place",P59="clash",P59="travel",P59="personal",P59="unknown",P59="silent_but_came"),OR(I59&lt;&gt;"success",AND(J59&lt;&gt;"",COUNTIFS($J$2:$J$201,J59,$I$2:$I$201,"success")=1)),OR(I59&lt;&gt;"not_sent",J59=""),IF(F59="duplicate",AND(COUNTIFS($A$2:$A$201,G59,$B$2:$B$201,B59,$C$2:$C$201,C59,$F$2:$F$201,"include")=1,H59="no",I59="not_sent",K59="none",M59="no",N59="no",O59=0),AND(G59="",N59&lt;&gt;"unknown",COUNTIFS($B$2:$B$201,B59,$F$2:$F$201,"&lt;&gt;duplicate")=1)),IF(F59="include",AND(H59="yes",K59&lt;&gt;"conflict",K59&lt;&gt;"unknown",M59&lt;&gt;"unknown",IF(OR(K59="yes",K59="no"),AND(M59="yes",OR(L59="text",L59="emoji",L59="voice")),L59="none")),TRUE),IF(F59="late",AND(H59="no",I59="not_sent",K59="none",L59="none",O59=0),TRUE)),"OK","CHECK"),"CHECK"))</x:f>
      </x:c>
      <x:c r="R59" s="3"/>
    </x:row>
    <x:row r="60" ht="22" customHeight="1">
      <x:c r="A60" s="8"/>
      <x:c r="B60" s="8"/>
      <x:c r="C60" s="8"/>
      <x:c r="D60" s="8"/>
      <x:c r="E60" s="7"/>
      <x:c r="F60" s="7"/>
      <x:c r="G60" s="7"/>
      <x:c r="H60" s="7"/>
      <x:c r="I60" s="7"/>
      <x:c r="J60" s="8"/>
      <x:c r="K60" s="7"/>
      <x:c r="L60" s="7"/>
      <x:c r="M60" s="7"/>
      <x:c r="N60" s="7"/>
      <x:c r="O60" s="7"/>
      <x:c r="P60" s="7"/>
      <x:c r="Q60" s="3" t="str">
        <x:f>IF(COUNTA(A60:P60)=0,"",IFERROR(IF(AND(A60&lt;&gt;"",COUNTIF($A$2:$A$201,A60)=1,OR(LEFT(B60,2)="V-",LEFT(B60,4)="SYN-"),LEN(MID(B60,IF(LEFT(B60,2)="V-",3,5),30))&gt;0,ISNUMBER(VALUE(MID(B60,IF(LEFT(B60,2)="V-",3,5),30))),VALUE(MID(B60,IF(LEFT(B60,2)="V-",3,5),30))&gt;=0,MOD(VALUE(MID(B60,IF(LEFT(B60,2)="V-",3,5),30)),1)=0,COUNTIFS(Slots!$A$2:$A$31,"E2",Slots!$B$2:$B$31,C60)=1,ISNUMBER(SEARCH("|"&amp;D60&amp;"|","|"&amp;Settings!$B$9&amp;"|")),OR(E60="regular",E60="first"),OR(F60="include",F60="duplicate",F60="late"),OR(H60="yes",H60="no"),OR(I60="success",I60="failed",I60="unknown",I60="not_sent"),OR(K60="yes",K60="no",K60="none",K60="conflict",K60="unknown"),OR(L60="text",L60="emoji",L60="voice",L60="none",L60="unknown"),OR(M60="yes",M60="no",M60="unknown"),OR(N60="yes",N60="no",N60="unknown"),ISNUMBER(O60),OR(O60=0,O60=1),OR(P60="",P60="soft_yes",P60="forgot",P60="time_place",P60="clash",P60="travel",P60="personal",P60="unknown",P60="silent_but_came"),OR(I60&lt;&gt;"success",AND(J60&lt;&gt;"",COUNTIFS($J$2:$J$201,J60,$I$2:$I$201,"success")=1)),OR(I60&lt;&gt;"not_sent",J60=""),IF(F60="duplicate",AND(COUNTIFS($A$2:$A$201,G60,$B$2:$B$201,B60,$C$2:$C$201,C60,$F$2:$F$201,"include")=1,H60="no",I60="not_sent",K60="none",M60="no",N60="no",O60=0),AND(G60="",N60&lt;&gt;"unknown",COUNTIFS($B$2:$B$201,B60,$F$2:$F$201,"&lt;&gt;duplicate")=1)),IF(F60="include",AND(H60="yes",K60&lt;&gt;"conflict",K60&lt;&gt;"unknown",M60&lt;&gt;"unknown",IF(OR(K60="yes",K60="no"),AND(M60="yes",OR(L60="text",L60="emoji",L60="voice")),L60="none")),TRUE),IF(F60="late",AND(H60="no",I60="not_sent",K60="none",L60="none",O60=0),TRUE)),"OK","CHECK"),"CHECK"))</x:f>
      </x:c>
      <x:c r="R60" s="3"/>
    </x:row>
    <x:row r="61" ht="22" customHeight="1">
      <x:c r="A61" s="8"/>
      <x:c r="B61" s="8"/>
      <x:c r="C61" s="8"/>
      <x:c r="D61" s="8"/>
      <x:c r="E61" s="7"/>
      <x:c r="F61" s="7"/>
      <x:c r="G61" s="7"/>
      <x:c r="H61" s="7"/>
      <x:c r="I61" s="7"/>
      <x:c r="J61" s="8"/>
      <x:c r="K61" s="7"/>
      <x:c r="L61" s="7"/>
      <x:c r="M61" s="7"/>
      <x:c r="N61" s="7"/>
      <x:c r="O61" s="7"/>
      <x:c r="P61" s="7"/>
      <x:c r="Q61" s="3" t="str">
        <x:f>IF(COUNTA(A61:P61)=0,"",IFERROR(IF(AND(A61&lt;&gt;"",COUNTIF($A$2:$A$201,A61)=1,OR(LEFT(B61,2)="V-",LEFT(B61,4)="SYN-"),LEN(MID(B61,IF(LEFT(B61,2)="V-",3,5),30))&gt;0,ISNUMBER(VALUE(MID(B61,IF(LEFT(B61,2)="V-",3,5),30))),VALUE(MID(B61,IF(LEFT(B61,2)="V-",3,5),30))&gt;=0,MOD(VALUE(MID(B61,IF(LEFT(B61,2)="V-",3,5),30)),1)=0,COUNTIFS(Slots!$A$2:$A$31,"E2",Slots!$B$2:$B$31,C61)=1,ISNUMBER(SEARCH("|"&amp;D61&amp;"|","|"&amp;Settings!$B$9&amp;"|")),OR(E61="regular",E61="first"),OR(F61="include",F61="duplicate",F61="late"),OR(H61="yes",H61="no"),OR(I61="success",I61="failed",I61="unknown",I61="not_sent"),OR(K61="yes",K61="no",K61="none",K61="conflict",K61="unknown"),OR(L61="text",L61="emoji",L61="voice",L61="none",L61="unknown"),OR(M61="yes",M61="no",M61="unknown"),OR(N61="yes",N61="no",N61="unknown"),ISNUMBER(O61),OR(O61=0,O61=1),OR(P61="",P61="soft_yes",P61="forgot",P61="time_place",P61="clash",P61="travel",P61="personal",P61="unknown",P61="silent_but_came"),OR(I61&lt;&gt;"success",AND(J61&lt;&gt;"",COUNTIFS($J$2:$J$201,J61,$I$2:$I$201,"success")=1)),OR(I61&lt;&gt;"not_sent",J61=""),IF(F61="duplicate",AND(COUNTIFS($A$2:$A$201,G61,$B$2:$B$201,B61,$C$2:$C$201,C61,$F$2:$F$201,"include")=1,H61="no",I61="not_sent",K61="none",M61="no",N61="no",O61=0),AND(G61="",N61&lt;&gt;"unknown",COUNTIFS($B$2:$B$201,B61,$F$2:$F$201,"&lt;&gt;duplicate")=1)),IF(F61="include",AND(H61="yes",K61&lt;&gt;"conflict",K61&lt;&gt;"unknown",M61&lt;&gt;"unknown",IF(OR(K61="yes",K61="no"),AND(M61="yes",OR(L61="text",L61="emoji",L61="voice")),L61="none")),TRUE),IF(F61="late",AND(H61="no",I61="not_sent",K61="none",L61="none",O61=0),TRUE)),"OK","CHECK"),"CHECK"))</x:f>
      </x:c>
      <x:c r="R61" s="3"/>
    </x:row>
    <x:row r="62" ht="22" customHeight="1">
      <x:c r="A62" s="8"/>
      <x:c r="B62" s="8"/>
      <x:c r="C62" s="8"/>
      <x:c r="D62" s="8"/>
      <x:c r="E62" s="7"/>
      <x:c r="F62" s="7"/>
      <x:c r="G62" s="7"/>
      <x:c r="H62" s="7"/>
      <x:c r="I62" s="7"/>
      <x:c r="J62" s="8"/>
      <x:c r="K62" s="7"/>
      <x:c r="L62" s="7"/>
      <x:c r="M62" s="7"/>
      <x:c r="N62" s="7"/>
      <x:c r="O62" s="7"/>
      <x:c r="P62" s="7"/>
      <x:c r="Q62" s="3" t="str">
        <x:f>IF(COUNTA(A62:P62)=0,"",IFERROR(IF(AND(A62&lt;&gt;"",COUNTIF($A$2:$A$201,A62)=1,OR(LEFT(B62,2)="V-",LEFT(B62,4)="SYN-"),LEN(MID(B62,IF(LEFT(B62,2)="V-",3,5),30))&gt;0,ISNUMBER(VALUE(MID(B62,IF(LEFT(B62,2)="V-",3,5),30))),VALUE(MID(B62,IF(LEFT(B62,2)="V-",3,5),30))&gt;=0,MOD(VALUE(MID(B62,IF(LEFT(B62,2)="V-",3,5),30)),1)=0,COUNTIFS(Slots!$A$2:$A$31,"E2",Slots!$B$2:$B$31,C62)=1,ISNUMBER(SEARCH("|"&amp;D62&amp;"|","|"&amp;Settings!$B$9&amp;"|")),OR(E62="regular",E62="first"),OR(F62="include",F62="duplicate",F62="late"),OR(H62="yes",H62="no"),OR(I62="success",I62="failed",I62="unknown",I62="not_sent"),OR(K62="yes",K62="no",K62="none",K62="conflict",K62="unknown"),OR(L62="text",L62="emoji",L62="voice",L62="none",L62="unknown"),OR(M62="yes",M62="no",M62="unknown"),OR(N62="yes",N62="no",N62="unknown"),ISNUMBER(O62),OR(O62=0,O62=1),OR(P62="",P62="soft_yes",P62="forgot",P62="time_place",P62="clash",P62="travel",P62="personal",P62="unknown",P62="silent_but_came"),OR(I62&lt;&gt;"success",AND(J62&lt;&gt;"",COUNTIFS($J$2:$J$201,J62,$I$2:$I$201,"success")=1)),OR(I62&lt;&gt;"not_sent",J62=""),IF(F62="duplicate",AND(COUNTIFS($A$2:$A$201,G62,$B$2:$B$201,B62,$C$2:$C$201,C62,$F$2:$F$201,"include")=1,H62="no",I62="not_sent",K62="none",M62="no",N62="no",O62=0),AND(G62="",N62&lt;&gt;"unknown",COUNTIFS($B$2:$B$201,B62,$F$2:$F$201,"&lt;&gt;duplicate")=1)),IF(F62="include",AND(H62="yes",K62&lt;&gt;"conflict",K62&lt;&gt;"unknown",M62&lt;&gt;"unknown",IF(OR(K62="yes",K62="no"),AND(M62="yes",OR(L62="text",L62="emoji",L62="voice")),L62="none")),TRUE),IF(F62="late",AND(H62="no",I62="not_sent",K62="none",L62="none",O62=0),TRUE)),"OK","CHECK"),"CHECK"))</x:f>
      </x:c>
      <x:c r="R62" s="3"/>
    </x:row>
    <x:row r="63" ht="22" customHeight="1">
      <x:c r="A63" s="8"/>
      <x:c r="B63" s="8"/>
      <x:c r="C63" s="8"/>
      <x:c r="D63" s="8"/>
      <x:c r="E63" s="7"/>
      <x:c r="F63" s="7"/>
      <x:c r="G63" s="7"/>
      <x:c r="H63" s="7"/>
      <x:c r="I63" s="7"/>
      <x:c r="J63" s="8"/>
      <x:c r="K63" s="7"/>
      <x:c r="L63" s="7"/>
      <x:c r="M63" s="7"/>
      <x:c r="N63" s="7"/>
      <x:c r="O63" s="7"/>
      <x:c r="P63" s="7"/>
      <x:c r="Q63" s="3" t="str">
        <x:f>IF(COUNTA(A63:P63)=0,"",IFERROR(IF(AND(A63&lt;&gt;"",COUNTIF($A$2:$A$201,A63)=1,OR(LEFT(B63,2)="V-",LEFT(B63,4)="SYN-"),LEN(MID(B63,IF(LEFT(B63,2)="V-",3,5),30))&gt;0,ISNUMBER(VALUE(MID(B63,IF(LEFT(B63,2)="V-",3,5),30))),VALUE(MID(B63,IF(LEFT(B63,2)="V-",3,5),30))&gt;=0,MOD(VALUE(MID(B63,IF(LEFT(B63,2)="V-",3,5),30)),1)=0,COUNTIFS(Slots!$A$2:$A$31,"E2",Slots!$B$2:$B$31,C63)=1,ISNUMBER(SEARCH("|"&amp;D63&amp;"|","|"&amp;Settings!$B$9&amp;"|")),OR(E63="regular",E63="first"),OR(F63="include",F63="duplicate",F63="late"),OR(H63="yes",H63="no"),OR(I63="success",I63="failed",I63="unknown",I63="not_sent"),OR(K63="yes",K63="no",K63="none",K63="conflict",K63="unknown"),OR(L63="text",L63="emoji",L63="voice",L63="none",L63="unknown"),OR(M63="yes",M63="no",M63="unknown"),OR(N63="yes",N63="no",N63="unknown"),ISNUMBER(O63),OR(O63=0,O63=1),OR(P63="",P63="soft_yes",P63="forgot",P63="time_place",P63="clash",P63="travel",P63="personal",P63="unknown",P63="silent_but_came"),OR(I63&lt;&gt;"success",AND(J63&lt;&gt;"",COUNTIFS($J$2:$J$201,J63,$I$2:$I$201,"success")=1)),OR(I63&lt;&gt;"not_sent",J63=""),IF(F63="duplicate",AND(COUNTIFS($A$2:$A$201,G63,$B$2:$B$201,B63,$C$2:$C$201,C63,$F$2:$F$201,"include")=1,H63="no",I63="not_sent",K63="none",M63="no",N63="no",O63=0),AND(G63="",N63&lt;&gt;"unknown",COUNTIFS($B$2:$B$201,B63,$F$2:$F$201,"&lt;&gt;duplicate")=1)),IF(F63="include",AND(H63="yes",K63&lt;&gt;"conflict",K63&lt;&gt;"unknown",M63&lt;&gt;"unknown",IF(OR(K63="yes",K63="no"),AND(M63="yes",OR(L63="text",L63="emoji",L63="voice")),L63="none")),TRUE),IF(F63="late",AND(H63="no",I63="not_sent",K63="none",L63="none",O63=0),TRUE)),"OK","CHECK"),"CHECK"))</x:f>
      </x:c>
      <x:c r="R63" s="3"/>
    </x:row>
    <x:row r="64" ht="22" customHeight="1">
      <x:c r="A64" s="8"/>
      <x:c r="B64" s="8"/>
      <x:c r="C64" s="8"/>
      <x:c r="D64" s="8"/>
      <x:c r="E64" s="7"/>
      <x:c r="F64" s="7"/>
      <x:c r="G64" s="7"/>
      <x:c r="H64" s="7"/>
      <x:c r="I64" s="7"/>
      <x:c r="J64" s="8"/>
      <x:c r="K64" s="7"/>
      <x:c r="L64" s="7"/>
      <x:c r="M64" s="7"/>
      <x:c r="N64" s="7"/>
      <x:c r="O64" s="7"/>
      <x:c r="P64" s="7"/>
      <x:c r="Q64" s="3" t="str">
        <x:f>IF(COUNTA(A64:P64)=0,"",IFERROR(IF(AND(A64&lt;&gt;"",COUNTIF($A$2:$A$201,A64)=1,OR(LEFT(B64,2)="V-",LEFT(B64,4)="SYN-"),LEN(MID(B64,IF(LEFT(B64,2)="V-",3,5),30))&gt;0,ISNUMBER(VALUE(MID(B64,IF(LEFT(B64,2)="V-",3,5),30))),VALUE(MID(B64,IF(LEFT(B64,2)="V-",3,5),30))&gt;=0,MOD(VALUE(MID(B64,IF(LEFT(B64,2)="V-",3,5),30)),1)=0,COUNTIFS(Slots!$A$2:$A$31,"E2",Slots!$B$2:$B$31,C64)=1,ISNUMBER(SEARCH("|"&amp;D64&amp;"|","|"&amp;Settings!$B$9&amp;"|")),OR(E64="regular",E64="first"),OR(F64="include",F64="duplicate",F64="late"),OR(H64="yes",H64="no"),OR(I64="success",I64="failed",I64="unknown",I64="not_sent"),OR(K64="yes",K64="no",K64="none",K64="conflict",K64="unknown"),OR(L64="text",L64="emoji",L64="voice",L64="none",L64="unknown"),OR(M64="yes",M64="no",M64="unknown"),OR(N64="yes",N64="no",N64="unknown"),ISNUMBER(O64),OR(O64=0,O64=1),OR(P64="",P64="soft_yes",P64="forgot",P64="time_place",P64="clash",P64="travel",P64="personal",P64="unknown",P64="silent_but_came"),OR(I64&lt;&gt;"success",AND(J64&lt;&gt;"",COUNTIFS($J$2:$J$201,J64,$I$2:$I$201,"success")=1)),OR(I64&lt;&gt;"not_sent",J64=""),IF(F64="duplicate",AND(COUNTIFS($A$2:$A$201,G64,$B$2:$B$201,B64,$C$2:$C$201,C64,$F$2:$F$201,"include")=1,H64="no",I64="not_sent",K64="none",M64="no",N64="no",O64=0),AND(G64="",N64&lt;&gt;"unknown",COUNTIFS($B$2:$B$201,B64,$F$2:$F$201,"&lt;&gt;duplicate")=1)),IF(F64="include",AND(H64="yes",K64&lt;&gt;"conflict",K64&lt;&gt;"unknown",M64&lt;&gt;"unknown",IF(OR(K64="yes",K64="no"),AND(M64="yes",OR(L64="text",L64="emoji",L64="voice")),L64="none")),TRUE),IF(F64="late",AND(H64="no",I64="not_sent",K64="none",L64="none",O64=0),TRUE)),"OK","CHECK"),"CHECK"))</x:f>
      </x:c>
      <x:c r="R64" s="3"/>
    </x:row>
    <x:row r="65" ht="22" customHeight="1">
      <x:c r="A65" s="8"/>
      <x:c r="B65" s="8"/>
      <x:c r="C65" s="8"/>
      <x:c r="D65" s="8"/>
      <x:c r="E65" s="7"/>
      <x:c r="F65" s="7"/>
      <x:c r="G65" s="7"/>
      <x:c r="H65" s="7"/>
      <x:c r="I65" s="7"/>
      <x:c r="J65" s="8"/>
      <x:c r="K65" s="7"/>
      <x:c r="L65" s="7"/>
      <x:c r="M65" s="7"/>
      <x:c r="N65" s="7"/>
      <x:c r="O65" s="7"/>
      <x:c r="P65" s="7"/>
      <x:c r="Q65" s="3" t="str">
        <x:f>IF(COUNTA(A65:P65)=0,"",IFERROR(IF(AND(A65&lt;&gt;"",COUNTIF($A$2:$A$201,A65)=1,OR(LEFT(B65,2)="V-",LEFT(B65,4)="SYN-"),LEN(MID(B65,IF(LEFT(B65,2)="V-",3,5),30))&gt;0,ISNUMBER(VALUE(MID(B65,IF(LEFT(B65,2)="V-",3,5),30))),VALUE(MID(B65,IF(LEFT(B65,2)="V-",3,5),30))&gt;=0,MOD(VALUE(MID(B65,IF(LEFT(B65,2)="V-",3,5),30)),1)=0,COUNTIFS(Slots!$A$2:$A$31,"E2",Slots!$B$2:$B$31,C65)=1,ISNUMBER(SEARCH("|"&amp;D65&amp;"|","|"&amp;Settings!$B$9&amp;"|")),OR(E65="regular",E65="first"),OR(F65="include",F65="duplicate",F65="late"),OR(H65="yes",H65="no"),OR(I65="success",I65="failed",I65="unknown",I65="not_sent"),OR(K65="yes",K65="no",K65="none",K65="conflict",K65="unknown"),OR(L65="text",L65="emoji",L65="voice",L65="none",L65="unknown"),OR(M65="yes",M65="no",M65="unknown"),OR(N65="yes",N65="no",N65="unknown"),ISNUMBER(O65),OR(O65=0,O65=1),OR(P65="",P65="soft_yes",P65="forgot",P65="time_place",P65="clash",P65="travel",P65="personal",P65="unknown",P65="silent_but_came"),OR(I65&lt;&gt;"success",AND(J65&lt;&gt;"",COUNTIFS($J$2:$J$201,J65,$I$2:$I$201,"success")=1)),OR(I65&lt;&gt;"not_sent",J65=""),IF(F65="duplicate",AND(COUNTIFS($A$2:$A$201,G65,$B$2:$B$201,B65,$C$2:$C$201,C65,$F$2:$F$201,"include")=1,H65="no",I65="not_sent",K65="none",M65="no",N65="no",O65=0),AND(G65="",N65&lt;&gt;"unknown",COUNTIFS($B$2:$B$201,B65,$F$2:$F$201,"&lt;&gt;duplicate")=1)),IF(F65="include",AND(H65="yes",K65&lt;&gt;"conflict",K65&lt;&gt;"unknown",M65&lt;&gt;"unknown",IF(OR(K65="yes",K65="no"),AND(M65="yes",OR(L65="text",L65="emoji",L65="voice")),L65="none")),TRUE),IF(F65="late",AND(H65="no",I65="not_sent",K65="none",L65="none",O65=0),TRUE)),"OK","CHECK"),"CHECK"))</x:f>
      </x:c>
      <x:c r="R65" s="3"/>
    </x:row>
    <x:row r="66" ht="22" customHeight="1">
      <x:c r="A66" s="8"/>
      <x:c r="B66" s="8"/>
      <x:c r="C66" s="8"/>
      <x:c r="D66" s="8"/>
      <x:c r="E66" s="7"/>
      <x:c r="F66" s="7"/>
      <x:c r="G66" s="7"/>
      <x:c r="H66" s="7"/>
      <x:c r="I66" s="7"/>
      <x:c r="J66" s="8"/>
      <x:c r="K66" s="7"/>
      <x:c r="L66" s="7"/>
      <x:c r="M66" s="7"/>
      <x:c r="N66" s="7"/>
      <x:c r="O66" s="7"/>
      <x:c r="P66" s="7"/>
      <x:c r="Q66" s="3" t="str">
        <x:f>IF(COUNTA(A66:P66)=0,"",IFERROR(IF(AND(A66&lt;&gt;"",COUNTIF($A$2:$A$201,A66)=1,OR(LEFT(B66,2)="V-",LEFT(B66,4)="SYN-"),LEN(MID(B66,IF(LEFT(B66,2)="V-",3,5),30))&gt;0,ISNUMBER(VALUE(MID(B66,IF(LEFT(B66,2)="V-",3,5),30))),VALUE(MID(B66,IF(LEFT(B66,2)="V-",3,5),30))&gt;=0,MOD(VALUE(MID(B66,IF(LEFT(B66,2)="V-",3,5),30)),1)=0,COUNTIFS(Slots!$A$2:$A$31,"E2",Slots!$B$2:$B$31,C66)=1,ISNUMBER(SEARCH("|"&amp;D66&amp;"|","|"&amp;Settings!$B$9&amp;"|")),OR(E66="regular",E66="first"),OR(F66="include",F66="duplicate",F66="late"),OR(H66="yes",H66="no"),OR(I66="success",I66="failed",I66="unknown",I66="not_sent"),OR(K66="yes",K66="no",K66="none",K66="conflict",K66="unknown"),OR(L66="text",L66="emoji",L66="voice",L66="none",L66="unknown"),OR(M66="yes",M66="no",M66="unknown"),OR(N66="yes",N66="no",N66="unknown"),ISNUMBER(O66),OR(O66=0,O66=1),OR(P66="",P66="soft_yes",P66="forgot",P66="time_place",P66="clash",P66="travel",P66="personal",P66="unknown",P66="silent_but_came"),OR(I66&lt;&gt;"success",AND(J66&lt;&gt;"",COUNTIFS($J$2:$J$201,J66,$I$2:$I$201,"success")=1)),OR(I66&lt;&gt;"not_sent",J66=""),IF(F66="duplicate",AND(COUNTIFS($A$2:$A$201,G66,$B$2:$B$201,B66,$C$2:$C$201,C66,$F$2:$F$201,"include")=1,H66="no",I66="not_sent",K66="none",M66="no",N66="no",O66=0),AND(G66="",N66&lt;&gt;"unknown",COUNTIFS($B$2:$B$201,B66,$F$2:$F$201,"&lt;&gt;duplicate")=1)),IF(F66="include",AND(H66="yes",K66&lt;&gt;"conflict",K66&lt;&gt;"unknown",M66&lt;&gt;"unknown",IF(OR(K66="yes",K66="no"),AND(M66="yes",OR(L66="text",L66="emoji",L66="voice")),L66="none")),TRUE),IF(F66="late",AND(H66="no",I66="not_sent",K66="none",L66="none",O66=0),TRUE)),"OK","CHECK"),"CHECK"))</x:f>
      </x:c>
      <x:c r="R66" s="3"/>
    </x:row>
    <x:row r="67" ht="22" customHeight="1">
      <x:c r="A67" s="8"/>
      <x:c r="B67" s="8"/>
      <x:c r="C67" s="8"/>
      <x:c r="D67" s="8"/>
      <x:c r="E67" s="7"/>
      <x:c r="F67" s="7"/>
      <x:c r="G67" s="7"/>
      <x:c r="H67" s="7"/>
      <x:c r="I67" s="7"/>
      <x:c r="J67" s="8"/>
      <x:c r="K67" s="7"/>
      <x:c r="L67" s="7"/>
      <x:c r="M67" s="7"/>
      <x:c r="N67" s="7"/>
      <x:c r="O67" s="7"/>
      <x:c r="P67" s="7"/>
      <x:c r="Q67" s="3" t="str">
        <x:f>IF(COUNTA(A67:P67)=0,"",IFERROR(IF(AND(A67&lt;&gt;"",COUNTIF($A$2:$A$201,A67)=1,OR(LEFT(B67,2)="V-",LEFT(B67,4)="SYN-"),LEN(MID(B67,IF(LEFT(B67,2)="V-",3,5),30))&gt;0,ISNUMBER(VALUE(MID(B67,IF(LEFT(B67,2)="V-",3,5),30))),VALUE(MID(B67,IF(LEFT(B67,2)="V-",3,5),30))&gt;=0,MOD(VALUE(MID(B67,IF(LEFT(B67,2)="V-",3,5),30)),1)=0,COUNTIFS(Slots!$A$2:$A$31,"E2",Slots!$B$2:$B$31,C67)=1,ISNUMBER(SEARCH("|"&amp;D67&amp;"|","|"&amp;Settings!$B$9&amp;"|")),OR(E67="regular",E67="first"),OR(F67="include",F67="duplicate",F67="late"),OR(H67="yes",H67="no"),OR(I67="success",I67="failed",I67="unknown",I67="not_sent"),OR(K67="yes",K67="no",K67="none",K67="conflict",K67="unknown"),OR(L67="text",L67="emoji",L67="voice",L67="none",L67="unknown"),OR(M67="yes",M67="no",M67="unknown"),OR(N67="yes",N67="no",N67="unknown"),ISNUMBER(O67),OR(O67=0,O67=1),OR(P67="",P67="soft_yes",P67="forgot",P67="time_place",P67="clash",P67="travel",P67="personal",P67="unknown",P67="silent_but_came"),OR(I67&lt;&gt;"success",AND(J67&lt;&gt;"",COUNTIFS($J$2:$J$201,J67,$I$2:$I$201,"success")=1)),OR(I67&lt;&gt;"not_sent",J67=""),IF(F67="duplicate",AND(COUNTIFS($A$2:$A$201,G67,$B$2:$B$201,B67,$C$2:$C$201,C67,$F$2:$F$201,"include")=1,H67="no",I67="not_sent",K67="none",M67="no",N67="no",O67=0),AND(G67="",N67&lt;&gt;"unknown",COUNTIFS($B$2:$B$201,B67,$F$2:$F$201,"&lt;&gt;duplicate")=1)),IF(F67="include",AND(H67="yes",K67&lt;&gt;"conflict",K67&lt;&gt;"unknown",M67&lt;&gt;"unknown",IF(OR(K67="yes",K67="no"),AND(M67="yes",OR(L67="text",L67="emoji",L67="voice")),L67="none")),TRUE),IF(F67="late",AND(H67="no",I67="not_sent",K67="none",L67="none",O67=0),TRUE)),"OK","CHECK"),"CHECK"))</x:f>
      </x:c>
      <x:c r="R67" s="3"/>
    </x:row>
    <x:row r="68" ht="22" customHeight="1">
      <x:c r="A68" s="8"/>
      <x:c r="B68" s="8"/>
      <x:c r="C68" s="8"/>
      <x:c r="D68" s="8"/>
      <x:c r="E68" s="7"/>
      <x:c r="F68" s="7"/>
      <x:c r="G68" s="7"/>
      <x:c r="H68" s="7"/>
      <x:c r="I68" s="7"/>
      <x:c r="J68" s="8"/>
      <x:c r="K68" s="7"/>
      <x:c r="L68" s="7"/>
      <x:c r="M68" s="7"/>
      <x:c r="N68" s="7"/>
      <x:c r="O68" s="7"/>
      <x:c r="P68" s="7"/>
      <x:c r="Q68" s="3" t="str">
        <x:f>IF(COUNTA(A68:P68)=0,"",IFERROR(IF(AND(A68&lt;&gt;"",COUNTIF($A$2:$A$201,A68)=1,OR(LEFT(B68,2)="V-",LEFT(B68,4)="SYN-"),LEN(MID(B68,IF(LEFT(B68,2)="V-",3,5),30))&gt;0,ISNUMBER(VALUE(MID(B68,IF(LEFT(B68,2)="V-",3,5),30))),VALUE(MID(B68,IF(LEFT(B68,2)="V-",3,5),30))&gt;=0,MOD(VALUE(MID(B68,IF(LEFT(B68,2)="V-",3,5),30)),1)=0,COUNTIFS(Slots!$A$2:$A$31,"E2",Slots!$B$2:$B$31,C68)=1,ISNUMBER(SEARCH("|"&amp;D68&amp;"|","|"&amp;Settings!$B$9&amp;"|")),OR(E68="regular",E68="first"),OR(F68="include",F68="duplicate",F68="late"),OR(H68="yes",H68="no"),OR(I68="success",I68="failed",I68="unknown",I68="not_sent"),OR(K68="yes",K68="no",K68="none",K68="conflict",K68="unknown"),OR(L68="text",L68="emoji",L68="voice",L68="none",L68="unknown"),OR(M68="yes",M68="no",M68="unknown"),OR(N68="yes",N68="no",N68="unknown"),ISNUMBER(O68),OR(O68=0,O68=1),OR(P68="",P68="soft_yes",P68="forgot",P68="time_place",P68="clash",P68="travel",P68="personal",P68="unknown",P68="silent_but_came"),OR(I68&lt;&gt;"success",AND(J68&lt;&gt;"",COUNTIFS($J$2:$J$201,J68,$I$2:$I$201,"success")=1)),OR(I68&lt;&gt;"not_sent",J68=""),IF(F68="duplicate",AND(COUNTIFS($A$2:$A$201,G68,$B$2:$B$201,B68,$C$2:$C$201,C68,$F$2:$F$201,"include")=1,H68="no",I68="not_sent",K68="none",M68="no",N68="no",O68=0),AND(G68="",N68&lt;&gt;"unknown",COUNTIFS($B$2:$B$201,B68,$F$2:$F$201,"&lt;&gt;duplicate")=1)),IF(F68="include",AND(H68="yes",K68&lt;&gt;"conflict",K68&lt;&gt;"unknown",M68&lt;&gt;"unknown",IF(OR(K68="yes",K68="no"),AND(M68="yes",OR(L68="text",L68="emoji",L68="voice")),L68="none")),TRUE),IF(F68="late",AND(H68="no",I68="not_sent",K68="none",L68="none",O68=0),TRUE)),"OK","CHECK"),"CHECK"))</x:f>
      </x:c>
      <x:c r="R68" s="3"/>
    </x:row>
    <x:row r="69" ht="22" customHeight="1">
      <x:c r="A69" s="8"/>
      <x:c r="B69" s="8"/>
      <x:c r="C69" s="8"/>
      <x:c r="D69" s="8"/>
      <x:c r="E69" s="7"/>
      <x:c r="F69" s="7"/>
      <x:c r="G69" s="7"/>
      <x:c r="H69" s="7"/>
      <x:c r="I69" s="7"/>
      <x:c r="J69" s="8"/>
      <x:c r="K69" s="7"/>
      <x:c r="L69" s="7"/>
      <x:c r="M69" s="7"/>
      <x:c r="N69" s="7"/>
      <x:c r="O69" s="7"/>
      <x:c r="P69" s="7"/>
      <x:c r="Q69" s="3" t="str">
        <x:f>IF(COUNTA(A69:P69)=0,"",IFERROR(IF(AND(A69&lt;&gt;"",COUNTIF($A$2:$A$201,A69)=1,OR(LEFT(B69,2)="V-",LEFT(B69,4)="SYN-"),LEN(MID(B69,IF(LEFT(B69,2)="V-",3,5),30))&gt;0,ISNUMBER(VALUE(MID(B69,IF(LEFT(B69,2)="V-",3,5),30))),VALUE(MID(B69,IF(LEFT(B69,2)="V-",3,5),30))&gt;=0,MOD(VALUE(MID(B69,IF(LEFT(B69,2)="V-",3,5),30)),1)=0,COUNTIFS(Slots!$A$2:$A$31,"E2",Slots!$B$2:$B$31,C69)=1,ISNUMBER(SEARCH("|"&amp;D69&amp;"|","|"&amp;Settings!$B$9&amp;"|")),OR(E69="regular",E69="first"),OR(F69="include",F69="duplicate",F69="late"),OR(H69="yes",H69="no"),OR(I69="success",I69="failed",I69="unknown",I69="not_sent"),OR(K69="yes",K69="no",K69="none",K69="conflict",K69="unknown"),OR(L69="text",L69="emoji",L69="voice",L69="none",L69="unknown"),OR(M69="yes",M69="no",M69="unknown"),OR(N69="yes",N69="no",N69="unknown"),ISNUMBER(O69),OR(O69=0,O69=1),OR(P69="",P69="soft_yes",P69="forgot",P69="time_place",P69="clash",P69="travel",P69="personal",P69="unknown",P69="silent_but_came"),OR(I69&lt;&gt;"success",AND(J69&lt;&gt;"",COUNTIFS($J$2:$J$201,J69,$I$2:$I$201,"success")=1)),OR(I69&lt;&gt;"not_sent",J69=""),IF(F69="duplicate",AND(COUNTIFS($A$2:$A$201,G69,$B$2:$B$201,B69,$C$2:$C$201,C69,$F$2:$F$201,"include")=1,H69="no",I69="not_sent",K69="none",M69="no",N69="no",O69=0),AND(G69="",N69&lt;&gt;"unknown",COUNTIFS($B$2:$B$201,B69,$F$2:$F$201,"&lt;&gt;duplicate")=1)),IF(F69="include",AND(H69="yes",K69&lt;&gt;"conflict",K69&lt;&gt;"unknown",M69&lt;&gt;"unknown",IF(OR(K69="yes",K69="no"),AND(M69="yes",OR(L69="text",L69="emoji",L69="voice")),L69="none")),TRUE),IF(F69="late",AND(H69="no",I69="not_sent",K69="none",L69="none",O69=0),TRUE)),"OK","CHECK"),"CHECK"))</x:f>
      </x:c>
      <x:c r="R69" s="3"/>
    </x:row>
    <x:row r="70" ht="22" customHeight="1">
      <x:c r="A70" s="8"/>
      <x:c r="B70" s="8"/>
      <x:c r="C70" s="8"/>
      <x:c r="D70" s="8"/>
      <x:c r="E70" s="7"/>
      <x:c r="F70" s="7"/>
      <x:c r="G70" s="7"/>
      <x:c r="H70" s="7"/>
      <x:c r="I70" s="7"/>
      <x:c r="J70" s="8"/>
      <x:c r="K70" s="7"/>
      <x:c r="L70" s="7"/>
      <x:c r="M70" s="7"/>
      <x:c r="N70" s="7"/>
      <x:c r="O70" s="7"/>
      <x:c r="P70" s="7"/>
      <x:c r="Q70" s="3" t="str">
        <x:f>IF(COUNTA(A70:P70)=0,"",IFERROR(IF(AND(A70&lt;&gt;"",COUNTIF($A$2:$A$201,A70)=1,OR(LEFT(B70,2)="V-",LEFT(B70,4)="SYN-"),LEN(MID(B70,IF(LEFT(B70,2)="V-",3,5),30))&gt;0,ISNUMBER(VALUE(MID(B70,IF(LEFT(B70,2)="V-",3,5),30))),VALUE(MID(B70,IF(LEFT(B70,2)="V-",3,5),30))&gt;=0,MOD(VALUE(MID(B70,IF(LEFT(B70,2)="V-",3,5),30)),1)=0,COUNTIFS(Slots!$A$2:$A$31,"E2",Slots!$B$2:$B$31,C70)=1,ISNUMBER(SEARCH("|"&amp;D70&amp;"|","|"&amp;Settings!$B$9&amp;"|")),OR(E70="regular",E70="first"),OR(F70="include",F70="duplicate",F70="late"),OR(H70="yes",H70="no"),OR(I70="success",I70="failed",I70="unknown",I70="not_sent"),OR(K70="yes",K70="no",K70="none",K70="conflict",K70="unknown"),OR(L70="text",L70="emoji",L70="voice",L70="none",L70="unknown"),OR(M70="yes",M70="no",M70="unknown"),OR(N70="yes",N70="no",N70="unknown"),ISNUMBER(O70),OR(O70=0,O70=1),OR(P70="",P70="soft_yes",P70="forgot",P70="time_place",P70="clash",P70="travel",P70="personal",P70="unknown",P70="silent_but_came"),OR(I70&lt;&gt;"success",AND(J70&lt;&gt;"",COUNTIFS($J$2:$J$201,J70,$I$2:$I$201,"success")=1)),OR(I70&lt;&gt;"not_sent",J70=""),IF(F70="duplicate",AND(COUNTIFS($A$2:$A$201,G70,$B$2:$B$201,B70,$C$2:$C$201,C70,$F$2:$F$201,"include")=1,H70="no",I70="not_sent",K70="none",M70="no",N70="no",O70=0),AND(G70="",N70&lt;&gt;"unknown",COUNTIFS($B$2:$B$201,B70,$F$2:$F$201,"&lt;&gt;duplicate")=1)),IF(F70="include",AND(H70="yes",K70&lt;&gt;"conflict",K70&lt;&gt;"unknown",M70&lt;&gt;"unknown",IF(OR(K70="yes",K70="no"),AND(M70="yes",OR(L70="text",L70="emoji",L70="voice")),L70="none")),TRUE),IF(F70="late",AND(H70="no",I70="not_sent",K70="none",L70="none",O70=0),TRUE)),"OK","CHECK"),"CHECK"))</x:f>
      </x:c>
      <x:c r="R70" s="3"/>
    </x:row>
    <x:row r="71" ht="22" customHeight="1">
      <x:c r="A71" s="8"/>
      <x:c r="B71" s="8"/>
      <x:c r="C71" s="8"/>
      <x:c r="D71" s="8"/>
      <x:c r="E71" s="7"/>
      <x:c r="F71" s="7"/>
      <x:c r="G71" s="7"/>
      <x:c r="H71" s="7"/>
      <x:c r="I71" s="7"/>
      <x:c r="J71" s="8"/>
      <x:c r="K71" s="7"/>
      <x:c r="L71" s="7"/>
      <x:c r="M71" s="7"/>
      <x:c r="N71" s="7"/>
      <x:c r="O71" s="7"/>
      <x:c r="P71" s="7"/>
      <x:c r="Q71" s="3" t="str">
        <x:f>IF(COUNTA(A71:P71)=0,"",IFERROR(IF(AND(A71&lt;&gt;"",COUNTIF($A$2:$A$201,A71)=1,OR(LEFT(B71,2)="V-",LEFT(B71,4)="SYN-"),LEN(MID(B71,IF(LEFT(B71,2)="V-",3,5),30))&gt;0,ISNUMBER(VALUE(MID(B71,IF(LEFT(B71,2)="V-",3,5),30))),VALUE(MID(B71,IF(LEFT(B71,2)="V-",3,5),30))&gt;=0,MOD(VALUE(MID(B71,IF(LEFT(B71,2)="V-",3,5),30)),1)=0,COUNTIFS(Slots!$A$2:$A$31,"E2",Slots!$B$2:$B$31,C71)=1,ISNUMBER(SEARCH("|"&amp;D71&amp;"|","|"&amp;Settings!$B$9&amp;"|")),OR(E71="regular",E71="first"),OR(F71="include",F71="duplicate",F71="late"),OR(H71="yes",H71="no"),OR(I71="success",I71="failed",I71="unknown",I71="not_sent"),OR(K71="yes",K71="no",K71="none",K71="conflict",K71="unknown"),OR(L71="text",L71="emoji",L71="voice",L71="none",L71="unknown"),OR(M71="yes",M71="no",M71="unknown"),OR(N71="yes",N71="no",N71="unknown"),ISNUMBER(O71),OR(O71=0,O71=1),OR(P71="",P71="soft_yes",P71="forgot",P71="time_place",P71="clash",P71="travel",P71="personal",P71="unknown",P71="silent_but_came"),OR(I71&lt;&gt;"success",AND(J71&lt;&gt;"",COUNTIFS($J$2:$J$201,J71,$I$2:$I$201,"success")=1)),OR(I71&lt;&gt;"not_sent",J71=""),IF(F71="duplicate",AND(COUNTIFS($A$2:$A$201,G71,$B$2:$B$201,B71,$C$2:$C$201,C71,$F$2:$F$201,"include")=1,H71="no",I71="not_sent",K71="none",M71="no",N71="no",O71=0),AND(G71="",N71&lt;&gt;"unknown",COUNTIFS($B$2:$B$201,B71,$F$2:$F$201,"&lt;&gt;duplicate")=1)),IF(F71="include",AND(H71="yes",K71&lt;&gt;"conflict",K71&lt;&gt;"unknown",M71&lt;&gt;"unknown",IF(OR(K71="yes",K71="no"),AND(M71="yes",OR(L71="text",L71="emoji",L71="voice")),L71="none")),TRUE),IF(F71="late",AND(H71="no",I71="not_sent",K71="none",L71="none",O71=0),TRUE)),"OK","CHECK"),"CHECK"))</x:f>
      </x:c>
      <x:c r="R71" s="3"/>
    </x:row>
    <x:row r="72" ht="22" customHeight="1">
      <x:c r="A72" s="8"/>
      <x:c r="B72" s="8"/>
      <x:c r="C72" s="8"/>
      <x:c r="D72" s="8"/>
      <x:c r="E72" s="7"/>
      <x:c r="F72" s="7"/>
      <x:c r="G72" s="7"/>
      <x:c r="H72" s="7"/>
      <x:c r="I72" s="7"/>
      <x:c r="J72" s="8"/>
      <x:c r="K72" s="7"/>
      <x:c r="L72" s="7"/>
      <x:c r="M72" s="7"/>
      <x:c r="N72" s="7"/>
      <x:c r="O72" s="7"/>
      <x:c r="P72" s="7"/>
      <x:c r="Q72" s="3" t="str">
        <x:f>IF(COUNTA(A72:P72)=0,"",IFERROR(IF(AND(A72&lt;&gt;"",COUNTIF($A$2:$A$201,A72)=1,OR(LEFT(B72,2)="V-",LEFT(B72,4)="SYN-"),LEN(MID(B72,IF(LEFT(B72,2)="V-",3,5),30))&gt;0,ISNUMBER(VALUE(MID(B72,IF(LEFT(B72,2)="V-",3,5),30))),VALUE(MID(B72,IF(LEFT(B72,2)="V-",3,5),30))&gt;=0,MOD(VALUE(MID(B72,IF(LEFT(B72,2)="V-",3,5),30)),1)=0,COUNTIFS(Slots!$A$2:$A$31,"E2",Slots!$B$2:$B$31,C72)=1,ISNUMBER(SEARCH("|"&amp;D72&amp;"|","|"&amp;Settings!$B$9&amp;"|")),OR(E72="regular",E72="first"),OR(F72="include",F72="duplicate",F72="late"),OR(H72="yes",H72="no"),OR(I72="success",I72="failed",I72="unknown",I72="not_sent"),OR(K72="yes",K72="no",K72="none",K72="conflict",K72="unknown"),OR(L72="text",L72="emoji",L72="voice",L72="none",L72="unknown"),OR(M72="yes",M72="no",M72="unknown"),OR(N72="yes",N72="no",N72="unknown"),ISNUMBER(O72),OR(O72=0,O72=1),OR(P72="",P72="soft_yes",P72="forgot",P72="time_place",P72="clash",P72="travel",P72="personal",P72="unknown",P72="silent_but_came"),OR(I72&lt;&gt;"success",AND(J72&lt;&gt;"",COUNTIFS($J$2:$J$201,J72,$I$2:$I$201,"success")=1)),OR(I72&lt;&gt;"not_sent",J72=""),IF(F72="duplicate",AND(COUNTIFS($A$2:$A$201,G72,$B$2:$B$201,B72,$C$2:$C$201,C72,$F$2:$F$201,"include")=1,H72="no",I72="not_sent",K72="none",M72="no",N72="no",O72=0),AND(G72="",N72&lt;&gt;"unknown",COUNTIFS($B$2:$B$201,B72,$F$2:$F$201,"&lt;&gt;duplicate")=1)),IF(F72="include",AND(H72="yes",K72&lt;&gt;"conflict",K72&lt;&gt;"unknown",M72&lt;&gt;"unknown",IF(OR(K72="yes",K72="no"),AND(M72="yes",OR(L72="text",L72="emoji",L72="voice")),L72="none")),TRUE),IF(F72="late",AND(H72="no",I72="not_sent",K72="none",L72="none",O72=0),TRUE)),"OK","CHECK"),"CHECK"))</x:f>
      </x:c>
      <x:c r="R72" s="3"/>
    </x:row>
    <x:row r="73" ht="22" customHeight="1">
      <x:c r="A73" s="8"/>
      <x:c r="B73" s="8"/>
      <x:c r="C73" s="8"/>
      <x:c r="D73" s="8"/>
      <x:c r="E73" s="7"/>
      <x:c r="F73" s="7"/>
      <x:c r="G73" s="7"/>
      <x:c r="H73" s="7"/>
      <x:c r="I73" s="7"/>
      <x:c r="J73" s="8"/>
      <x:c r="K73" s="7"/>
      <x:c r="L73" s="7"/>
      <x:c r="M73" s="7"/>
      <x:c r="N73" s="7"/>
      <x:c r="O73" s="7"/>
      <x:c r="P73" s="7"/>
      <x:c r="Q73" s="3" t="str">
        <x:f>IF(COUNTA(A73:P73)=0,"",IFERROR(IF(AND(A73&lt;&gt;"",COUNTIF($A$2:$A$201,A73)=1,OR(LEFT(B73,2)="V-",LEFT(B73,4)="SYN-"),LEN(MID(B73,IF(LEFT(B73,2)="V-",3,5),30))&gt;0,ISNUMBER(VALUE(MID(B73,IF(LEFT(B73,2)="V-",3,5),30))),VALUE(MID(B73,IF(LEFT(B73,2)="V-",3,5),30))&gt;=0,MOD(VALUE(MID(B73,IF(LEFT(B73,2)="V-",3,5),30)),1)=0,COUNTIFS(Slots!$A$2:$A$31,"E2",Slots!$B$2:$B$31,C73)=1,ISNUMBER(SEARCH("|"&amp;D73&amp;"|","|"&amp;Settings!$B$9&amp;"|")),OR(E73="regular",E73="first"),OR(F73="include",F73="duplicate",F73="late"),OR(H73="yes",H73="no"),OR(I73="success",I73="failed",I73="unknown",I73="not_sent"),OR(K73="yes",K73="no",K73="none",K73="conflict",K73="unknown"),OR(L73="text",L73="emoji",L73="voice",L73="none",L73="unknown"),OR(M73="yes",M73="no",M73="unknown"),OR(N73="yes",N73="no",N73="unknown"),ISNUMBER(O73),OR(O73=0,O73=1),OR(P73="",P73="soft_yes",P73="forgot",P73="time_place",P73="clash",P73="travel",P73="personal",P73="unknown",P73="silent_but_came"),OR(I73&lt;&gt;"success",AND(J73&lt;&gt;"",COUNTIFS($J$2:$J$201,J73,$I$2:$I$201,"success")=1)),OR(I73&lt;&gt;"not_sent",J73=""),IF(F73="duplicate",AND(COUNTIFS($A$2:$A$201,G73,$B$2:$B$201,B73,$C$2:$C$201,C73,$F$2:$F$201,"include")=1,H73="no",I73="not_sent",K73="none",M73="no",N73="no",O73=0),AND(G73="",N73&lt;&gt;"unknown",COUNTIFS($B$2:$B$201,B73,$F$2:$F$201,"&lt;&gt;duplicate")=1)),IF(F73="include",AND(H73="yes",K73&lt;&gt;"conflict",K73&lt;&gt;"unknown",M73&lt;&gt;"unknown",IF(OR(K73="yes",K73="no"),AND(M73="yes",OR(L73="text",L73="emoji",L73="voice")),L73="none")),TRUE),IF(F73="late",AND(H73="no",I73="not_sent",K73="none",L73="none",O73=0),TRUE)),"OK","CHECK"),"CHECK"))</x:f>
      </x:c>
      <x:c r="R73" s="3"/>
    </x:row>
    <x:row r="74" ht="22" customHeight="1">
      <x:c r="A74" s="8"/>
      <x:c r="B74" s="8"/>
      <x:c r="C74" s="8"/>
      <x:c r="D74" s="8"/>
      <x:c r="E74" s="7"/>
      <x:c r="F74" s="7"/>
      <x:c r="G74" s="7"/>
      <x:c r="H74" s="7"/>
      <x:c r="I74" s="7"/>
      <x:c r="J74" s="8"/>
      <x:c r="K74" s="7"/>
      <x:c r="L74" s="7"/>
      <x:c r="M74" s="7"/>
      <x:c r="N74" s="7"/>
      <x:c r="O74" s="7"/>
      <x:c r="P74" s="7"/>
      <x:c r="Q74" s="3" t="str">
        <x:f>IF(COUNTA(A74:P74)=0,"",IFERROR(IF(AND(A74&lt;&gt;"",COUNTIF($A$2:$A$201,A74)=1,OR(LEFT(B74,2)="V-",LEFT(B74,4)="SYN-"),LEN(MID(B74,IF(LEFT(B74,2)="V-",3,5),30))&gt;0,ISNUMBER(VALUE(MID(B74,IF(LEFT(B74,2)="V-",3,5),30))),VALUE(MID(B74,IF(LEFT(B74,2)="V-",3,5),30))&gt;=0,MOD(VALUE(MID(B74,IF(LEFT(B74,2)="V-",3,5),30)),1)=0,COUNTIFS(Slots!$A$2:$A$31,"E2",Slots!$B$2:$B$31,C74)=1,ISNUMBER(SEARCH("|"&amp;D74&amp;"|","|"&amp;Settings!$B$9&amp;"|")),OR(E74="regular",E74="first"),OR(F74="include",F74="duplicate",F74="late"),OR(H74="yes",H74="no"),OR(I74="success",I74="failed",I74="unknown",I74="not_sent"),OR(K74="yes",K74="no",K74="none",K74="conflict",K74="unknown"),OR(L74="text",L74="emoji",L74="voice",L74="none",L74="unknown"),OR(M74="yes",M74="no",M74="unknown"),OR(N74="yes",N74="no",N74="unknown"),ISNUMBER(O74),OR(O74=0,O74=1),OR(P74="",P74="soft_yes",P74="forgot",P74="time_place",P74="clash",P74="travel",P74="personal",P74="unknown",P74="silent_but_came"),OR(I74&lt;&gt;"success",AND(J74&lt;&gt;"",COUNTIFS($J$2:$J$201,J74,$I$2:$I$201,"success")=1)),OR(I74&lt;&gt;"not_sent",J74=""),IF(F74="duplicate",AND(COUNTIFS($A$2:$A$201,G74,$B$2:$B$201,B74,$C$2:$C$201,C74,$F$2:$F$201,"include")=1,H74="no",I74="not_sent",K74="none",M74="no",N74="no",O74=0),AND(G74="",N74&lt;&gt;"unknown",COUNTIFS($B$2:$B$201,B74,$F$2:$F$201,"&lt;&gt;duplicate")=1)),IF(F74="include",AND(H74="yes",K74&lt;&gt;"conflict",K74&lt;&gt;"unknown",M74&lt;&gt;"unknown",IF(OR(K74="yes",K74="no"),AND(M74="yes",OR(L74="text",L74="emoji",L74="voice")),L74="none")),TRUE),IF(F74="late",AND(H74="no",I74="not_sent",K74="none",L74="none",O74=0),TRUE)),"OK","CHECK"),"CHECK"))</x:f>
      </x:c>
      <x:c r="R74" s="3"/>
    </x:row>
    <x:row r="75" ht="22" customHeight="1">
      <x:c r="A75" s="8"/>
      <x:c r="B75" s="8"/>
      <x:c r="C75" s="8"/>
      <x:c r="D75" s="8"/>
      <x:c r="E75" s="7"/>
      <x:c r="F75" s="7"/>
      <x:c r="G75" s="7"/>
      <x:c r="H75" s="7"/>
      <x:c r="I75" s="7"/>
      <x:c r="J75" s="8"/>
      <x:c r="K75" s="7"/>
      <x:c r="L75" s="7"/>
      <x:c r="M75" s="7"/>
      <x:c r="N75" s="7"/>
      <x:c r="O75" s="7"/>
      <x:c r="P75" s="7"/>
      <x:c r="Q75" s="3" t="str">
        <x:f>IF(COUNTA(A75:P75)=0,"",IFERROR(IF(AND(A75&lt;&gt;"",COUNTIF($A$2:$A$201,A75)=1,OR(LEFT(B75,2)="V-",LEFT(B75,4)="SYN-"),LEN(MID(B75,IF(LEFT(B75,2)="V-",3,5),30))&gt;0,ISNUMBER(VALUE(MID(B75,IF(LEFT(B75,2)="V-",3,5),30))),VALUE(MID(B75,IF(LEFT(B75,2)="V-",3,5),30))&gt;=0,MOD(VALUE(MID(B75,IF(LEFT(B75,2)="V-",3,5),30)),1)=0,COUNTIFS(Slots!$A$2:$A$31,"E2",Slots!$B$2:$B$31,C75)=1,ISNUMBER(SEARCH("|"&amp;D75&amp;"|","|"&amp;Settings!$B$9&amp;"|")),OR(E75="regular",E75="first"),OR(F75="include",F75="duplicate",F75="late"),OR(H75="yes",H75="no"),OR(I75="success",I75="failed",I75="unknown",I75="not_sent"),OR(K75="yes",K75="no",K75="none",K75="conflict",K75="unknown"),OR(L75="text",L75="emoji",L75="voice",L75="none",L75="unknown"),OR(M75="yes",M75="no",M75="unknown"),OR(N75="yes",N75="no",N75="unknown"),ISNUMBER(O75),OR(O75=0,O75=1),OR(P75="",P75="soft_yes",P75="forgot",P75="time_place",P75="clash",P75="travel",P75="personal",P75="unknown",P75="silent_but_came"),OR(I75&lt;&gt;"success",AND(J75&lt;&gt;"",COUNTIFS($J$2:$J$201,J75,$I$2:$I$201,"success")=1)),OR(I75&lt;&gt;"not_sent",J75=""),IF(F75="duplicate",AND(COUNTIFS($A$2:$A$201,G75,$B$2:$B$201,B75,$C$2:$C$201,C75,$F$2:$F$201,"include")=1,H75="no",I75="not_sent",K75="none",M75="no",N75="no",O75=0),AND(G75="",N75&lt;&gt;"unknown",COUNTIFS($B$2:$B$201,B75,$F$2:$F$201,"&lt;&gt;duplicate")=1)),IF(F75="include",AND(H75="yes",K75&lt;&gt;"conflict",K75&lt;&gt;"unknown",M75&lt;&gt;"unknown",IF(OR(K75="yes",K75="no"),AND(M75="yes",OR(L75="text",L75="emoji",L75="voice")),L75="none")),TRUE),IF(F75="late",AND(H75="no",I75="not_sent",K75="none",L75="none",O75=0),TRUE)),"OK","CHECK"),"CHECK"))</x:f>
      </x:c>
      <x:c r="R75" s="3"/>
    </x:row>
    <x:row r="76" ht="22" customHeight="1">
      <x:c r="A76" s="8"/>
      <x:c r="B76" s="8"/>
      <x:c r="C76" s="8"/>
      <x:c r="D76" s="8"/>
      <x:c r="E76" s="7"/>
      <x:c r="F76" s="7"/>
      <x:c r="G76" s="7"/>
      <x:c r="H76" s="7"/>
      <x:c r="I76" s="7"/>
      <x:c r="J76" s="8"/>
      <x:c r="K76" s="7"/>
      <x:c r="L76" s="7"/>
      <x:c r="M76" s="7"/>
      <x:c r="N76" s="7"/>
      <x:c r="O76" s="7"/>
      <x:c r="P76" s="7"/>
      <x:c r="Q76" s="3" t="str">
        <x:f>IF(COUNTA(A76:P76)=0,"",IFERROR(IF(AND(A76&lt;&gt;"",COUNTIF($A$2:$A$201,A76)=1,OR(LEFT(B76,2)="V-",LEFT(B76,4)="SYN-"),LEN(MID(B76,IF(LEFT(B76,2)="V-",3,5),30))&gt;0,ISNUMBER(VALUE(MID(B76,IF(LEFT(B76,2)="V-",3,5),30))),VALUE(MID(B76,IF(LEFT(B76,2)="V-",3,5),30))&gt;=0,MOD(VALUE(MID(B76,IF(LEFT(B76,2)="V-",3,5),30)),1)=0,COUNTIFS(Slots!$A$2:$A$31,"E2",Slots!$B$2:$B$31,C76)=1,ISNUMBER(SEARCH("|"&amp;D76&amp;"|","|"&amp;Settings!$B$9&amp;"|")),OR(E76="regular",E76="first"),OR(F76="include",F76="duplicate",F76="late"),OR(H76="yes",H76="no"),OR(I76="success",I76="failed",I76="unknown",I76="not_sent"),OR(K76="yes",K76="no",K76="none",K76="conflict",K76="unknown"),OR(L76="text",L76="emoji",L76="voice",L76="none",L76="unknown"),OR(M76="yes",M76="no",M76="unknown"),OR(N76="yes",N76="no",N76="unknown"),ISNUMBER(O76),OR(O76=0,O76=1),OR(P76="",P76="soft_yes",P76="forgot",P76="time_place",P76="clash",P76="travel",P76="personal",P76="unknown",P76="silent_but_came"),OR(I76&lt;&gt;"success",AND(J76&lt;&gt;"",COUNTIFS($J$2:$J$201,J76,$I$2:$I$201,"success")=1)),OR(I76&lt;&gt;"not_sent",J76=""),IF(F76="duplicate",AND(COUNTIFS($A$2:$A$201,G76,$B$2:$B$201,B76,$C$2:$C$201,C76,$F$2:$F$201,"include")=1,H76="no",I76="not_sent",K76="none",M76="no",N76="no",O76=0),AND(G76="",N76&lt;&gt;"unknown",COUNTIFS($B$2:$B$201,B76,$F$2:$F$201,"&lt;&gt;duplicate")=1)),IF(F76="include",AND(H76="yes",K76&lt;&gt;"conflict",K76&lt;&gt;"unknown",M76&lt;&gt;"unknown",IF(OR(K76="yes",K76="no"),AND(M76="yes",OR(L76="text",L76="emoji",L76="voice")),L76="none")),TRUE),IF(F76="late",AND(H76="no",I76="not_sent",K76="none",L76="none",O76=0),TRUE)),"OK","CHECK"),"CHECK"))</x:f>
      </x:c>
      <x:c r="R76" s="3"/>
    </x:row>
    <x:row r="77" ht="22" customHeight="1">
      <x:c r="A77" s="8"/>
      <x:c r="B77" s="8"/>
      <x:c r="C77" s="8"/>
      <x:c r="D77" s="8"/>
      <x:c r="E77" s="7"/>
      <x:c r="F77" s="7"/>
      <x:c r="G77" s="7"/>
      <x:c r="H77" s="7"/>
      <x:c r="I77" s="7"/>
      <x:c r="J77" s="8"/>
      <x:c r="K77" s="7"/>
      <x:c r="L77" s="7"/>
      <x:c r="M77" s="7"/>
      <x:c r="N77" s="7"/>
      <x:c r="O77" s="7"/>
      <x:c r="P77" s="7"/>
      <x:c r="Q77" s="3" t="str">
        <x:f>IF(COUNTA(A77:P77)=0,"",IFERROR(IF(AND(A77&lt;&gt;"",COUNTIF($A$2:$A$201,A77)=1,OR(LEFT(B77,2)="V-",LEFT(B77,4)="SYN-"),LEN(MID(B77,IF(LEFT(B77,2)="V-",3,5),30))&gt;0,ISNUMBER(VALUE(MID(B77,IF(LEFT(B77,2)="V-",3,5),30))),VALUE(MID(B77,IF(LEFT(B77,2)="V-",3,5),30))&gt;=0,MOD(VALUE(MID(B77,IF(LEFT(B77,2)="V-",3,5),30)),1)=0,COUNTIFS(Slots!$A$2:$A$31,"E2",Slots!$B$2:$B$31,C77)=1,ISNUMBER(SEARCH("|"&amp;D77&amp;"|","|"&amp;Settings!$B$9&amp;"|")),OR(E77="regular",E77="first"),OR(F77="include",F77="duplicate",F77="late"),OR(H77="yes",H77="no"),OR(I77="success",I77="failed",I77="unknown",I77="not_sent"),OR(K77="yes",K77="no",K77="none",K77="conflict",K77="unknown"),OR(L77="text",L77="emoji",L77="voice",L77="none",L77="unknown"),OR(M77="yes",M77="no",M77="unknown"),OR(N77="yes",N77="no",N77="unknown"),ISNUMBER(O77),OR(O77=0,O77=1),OR(P77="",P77="soft_yes",P77="forgot",P77="time_place",P77="clash",P77="travel",P77="personal",P77="unknown",P77="silent_but_came"),OR(I77&lt;&gt;"success",AND(J77&lt;&gt;"",COUNTIFS($J$2:$J$201,J77,$I$2:$I$201,"success")=1)),OR(I77&lt;&gt;"not_sent",J77=""),IF(F77="duplicate",AND(COUNTIFS($A$2:$A$201,G77,$B$2:$B$201,B77,$C$2:$C$201,C77,$F$2:$F$201,"include")=1,H77="no",I77="not_sent",K77="none",M77="no",N77="no",O77=0),AND(G77="",N77&lt;&gt;"unknown",COUNTIFS($B$2:$B$201,B77,$F$2:$F$201,"&lt;&gt;duplicate")=1)),IF(F77="include",AND(H77="yes",K77&lt;&gt;"conflict",K77&lt;&gt;"unknown",M77&lt;&gt;"unknown",IF(OR(K77="yes",K77="no"),AND(M77="yes",OR(L77="text",L77="emoji",L77="voice")),L77="none")),TRUE),IF(F77="late",AND(H77="no",I77="not_sent",K77="none",L77="none",O77=0),TRUE)),"OK","CHECK"),"CHECK"))</x:f>
      </x:c>
      <x:c r="R77" s="3"/>
    </x:row>
    <x:row r="78" ht="22" customHeight="1">
      <x:c r="A78" s="8"/>
      <x:c r="B78" s="8"/>
      <x:c r="C78" s="8"/>
      <x:c r="D78" s="8"/>
      <x:c r="E78" s="7"/>
      <x:c r="F78" s="7"/>
      <x:c r="G78" s="7"/>
      <x:c r="H78" s="7"/>
      <x:c r="I78" s="7"/>
      <x:c r="J78" s="8"/>
      <x:c r="K78" s="7"/>
      <x:c r="L78" s="7"/>
      <x:c r="M78" s="7"/>
      <x:c r="N78" s="7"/>
      <x:c r="O78" s="7"/>
      <x:c r="P78" s="7"/>
      <x:c r="Q78" s="3" t="str">
        <x:f>IF(COUNTA(A78:P78)=0,"",IFERROR(IF(AND(A78&lt;&gt;"",COUNTIF($A$2:$A$201,A78)=1,OR(LEFT(B78,2)="V-",LEFT(B78,4)="SYN-"),LEN(MID(B78,IF(LEFT(B78,2)="V-",3,5),30))&gt;0,ISNUMBER(VALUE(MID(B78,IF(LEFT(B78,2)="V-",3,5),30))),VALUE(MID(B78,IF(LEFT(B78,2)="V-",3,5),30))&gt;=0,MOD(VALUE(MID(B78,IF(LEFT(B78,2)="V-",3,5),30)),1)=0,COUNTIFS(Slots!$A$2:$A$31,"E2",Slots!$B$2:$B$31,C78)=1,ISNUMBER(SEARCH("|"&amp;D78&amp;"|","|"&amp;Settings!$B$9&amp;"|")),OR(E78="regular",E78="first"),OR(F78="include",F78="duplicate",F78="late"),OR(H78="yes",H78="no"),OR(I78="success",I78="failed",I78="unknown",I78="not_sent"),OR(K78="yes",K78="no",K78="none",K78="conflict",K78="unknown"),OR(L78="text",L78="emoji",L78="voice",L78="none",L78="unknown"),OR(M78="yes",M78="no",M78="unknown"),OR(N78="yes",N78="no",N78="unknown"),ISNUMBER(O78),OR(O78=0,O78=1),OR(P78="",P78="soft_yes",P78="forgot",P78="time_place",P78="clash",P78="travel",P78="personal",P78="unknown",P78="silent_but_came"),OR(I78&lt;&gt;"success",AND(J78&lt;&gt;"",COUNTIFS($J$2:$J$201,J78,$I$2:$I$201,"success")=1)),OR(I78&lt;&gt;"not_sent",J78=""),IF(F78="duplicate",AND(COUNTIFS($A$2:$A$201,G78,$B$2:$B$201,B78,$C$2:$C$201,C78,$F$2:$F$201,"include")=1,H78="no",I78="not_sent",K78="none",M78="no",N78="no",O78=0),AND(G78="",N78&lt;&gt;"unknown",COUNTIFS($B$2:$B$201,B78,$F$2:$F$201,"&lt;&gt;duplicate")=1)),IF(F78="include",AND(H78="yes",K78&lt;&gt;"conflict",K78&lt;&gt;"unknown",M78&lt;&gt;"unknown",IF(OR(K78="yes",K78="no"),AND(M78="yes",OR(L78="text",L78="emoji",L78="voice")),L78="none")),TRUE),IF(F78="late",AND(H78="no",I78="not_sent",K78="none",L78="none",O78=0),TRUE)),"OK","CHECK"),"CHECK"))</x:f>
      </x:c>
      <x:c r="R78" s="3"/>
    </x:row>
    <x:row r="79" ht="22" customHeight="1">
      <x:c r="A79" s="8"/>
      <x:c r="B79" s="8"/>
      <x:c r="C79" s="8"/>
      <x:c r="D79" s="8"/>
      <x:c r="E79" s="7"/>
      <x:c r="F79" s="7"/>
      <x:c r="G79" s="7"/>
      <x:c r="H79" s="7"/>
      <x:c r="I79" s="7"/>
      <x:c r="J79" s="8"/>
      <x:c r="K79" s="7"/>
      <x:c r="L79" s="7"/>
      <x:c r="M79" s="7"/>
      <x:c r="N79" s="7"/>
      <x:c r="O79" s="7"/>
      <x:c r="P79" s="7"/>
      <x:c r="Q79" s="3" t="str">
        <x:f>IF(COUNTA(A79:P79)=0,"",IFERROR(IF(AND(A79&lt;&gt;"",COUNTIF($A$2:$A$201,A79)=1,OR(LEFT(B79,2)="V-",LEFT(B79,4)="SYN-"),LEN(MID(B79,IF(LEFT(B79,2)="V-",3,5),30))&gt;0,ISNUMBER(VALUE(MID(B79,IF(LEFT(B79,2)="V-",3,5),30))),VALUE(MID(B79,IF(LEFT(B79,2)="V-",3,5),30))&gt;=0,MOD(VALUE(MID(B79,IF(LEFT(B79,2)="V-",3,5),30)),1)=0,COUNTIFS(Slots!$A$2:$A$31,"E2",Slots!$B$2:$B$31,C79)=1,ISNUMBER(SEARCH("|"&amp;D79&amp;"|","|"&amp;Settings!$B$9&amp;"|")),OR(E79="regular",E79="first"),OR(F79="include",F79="duplicate",F79="late"),OR(H79="yes",H79="no"),OR(I79="success",I79="failed",I79="unknown",I79="not_sent"),OR(K79="yes",K79="no",K79="none",K79="conflict",K79="unknown"),OR(L79="text",L79="emoji",L79="voice",L79="none",L79="unknown"),OR(M79="yes",M79="no",M79="unknown"),OR(N79="yes",N79="no",N79="unknown"),ISNUMBER(O79),OR(O79=0,O79=1),OR(P79="",P79="soft_yes",P79="forgot",P79="time_place",P79="clash",P79="travel",P79="personal",P79="unknown",P79="silent_but_came"),OR(I79&lt;&gt;"success",AND(J79&lt;&gt;"",COUNTIFS($J$2:$J$201,J79,$I$2:$I$201,"success")=1)),OR(I79&lt;&gt;"not_sent",J79=""),IF(F79="duplicate",AND(COUNTIFS($A$2:$A$201,G79,$B$2:$B$201,B79,$C$2:$C$201,C79,$F$2:$F$201,"include")=1,H79="no",I79="not_sent",K79="none",M79="no",N79="no",O79=0),AND(G79="",N79&lt;&gt;"unknown",COUNTIFS($B$2:$B$201,B79,$F$2:$F$201,"&lt;&gt;duplicate")=1)),IF(F79="include",AND(H79="yes",K79&lt;&gt;"conflict",K79&lt;&gt;"unknown",M79&lt;&gt;"unknown",IF(OR(K79="yes",K79="no"),AND(M79="yes",OR(L79="text",L79="emoji",L79="voice")),L79="none")),TRUE),IF(F79="late",AND(H79="no",I79="not_sent",K79="none",L79="none",O79=0),TRUE)),"OK","CHECK"),"CHECK"))</x:f>
      </x:c>
      <x:c r="R79" s="3"/>
    </x:row>
    <x:row r="80" ht="22" customHeight="1">
      <x:c r="A80" s="8"/>
      <x:c r="B80" s="8"/>
      <x:c r="C80" s="8"/>
      <x:c r="D80" s="8"/>
      <x:c r="E80" s="7"/>
      <x:c r="F80" s="7"/>
      <x:c r="G80" s="7"/>
      <x:c r="H80" s="7"/>
      <x:c r="I80" s="7"/>
      <x:c r="J80" s="8"/>
      <x:c r="K80" s="7"/>
      <x:c r="L80" s="7"/>
      <x:c r="M80" s="7"/>
      <x:c r="N80" s="7"/>
      <x:c r="O80" s="7"/>
      <x:c r="P80" s="7"/>
      <x:c r="Q80" s="3" t="str">
        <x:f>IF(COUNTA(A80:P80)=0,"",IFERROR(IF(AND(A80&lt;&gt;"",COUNTIF($A$2:$A$201,A80)=1,OR(LEFT(B80,2)="V-",LEFT(B80,4)="SYN-"),LEN(MID(B80,IF(LEFT(B80,2)="V-",3,5),30))&gt;0,ISNUMBER(VALUE(MID(B80,IF(LEFT(B80,2)="V-",3,5),30))),VALUE(MID(B80,IF(LEFT(B80,2)="V-",3,5),30))&gt;=0,MOD(VALUE(MID(B80,IF(LEFT(B80,2)="V-",3,5),30)),1)=0,COUNTIFS(Slots!$A$2:$A$31,"E2",Slots!$B$2:$B$31,C80)=1,ISNUMBER(SEARCH("|"&amp;D80&amp;"|","|"&amp;Settings!$B$9&amp;"|")),OR(E80="regular",E80="first"),OR(F80="include",F80="duplicate",F80="late"),OR(H80="yes",H80="no"),OR(I80="success",I80="failed",I80="unknown",I80="not_sent"),OR(K80="yes",K80="no",K80="none",K80="conflict",K80="unknown"),OR(L80="text",L80="emoji",L80="voice",L80="none",L80="unknown"),OR(M80="yes",M80="no",M80="unknown"),OR(N80="yes",N80="no",N80="unknown"),ISNUMBER(O80),OR(O80=0,O80=1),OR(P80="",P80="soft_yes",P80="forgot",P80="time_place",P80="clash",P80="travel",P80="personal",P80="unknown",P80="silent_but_came"),OR(I80&lt;&gt;"success",AND(J80&lt;&gt;"",COUNTIFS($J$2:$J$201,J80,$I$2:$I$201,"success")=1)),OR(I80&lt;&gt;"not_sent",J80=""),IF(F80="duplicate",AND(COUNTIFS($A$2:$A$201,G80,$B$2:$B$201,B80,$C$2:$C$201,C80,$F$2:$F$201,"include")=1,H80="no",I80="not_sent",K80="none",M80="no",N80="no",O80=0),AND(G80="",N80&lt;&gt;"unknown",COUNTIFS($B$2:$B$201,B80,$F$2:$F$201,"&lt;&gt;duplicate")=1)),IF(F80="include",AND(H80="yes",K80&lt;&gt;"conflict",K80&lt;&gt;"unknown",M80&lt;&gt;"unknown",IF(OR(K80="yes",K80="no"),AND(M80="yes",OR(L80="text",L80="emoji",L80="voice")),L80="none")),TRUE),IF(F80="late",AND(H80="no",I80="not_sent",K80="none",L80="none",O80=0),TRUE)),"OK","CHECK"),"CHECK"))</x:f>
      </x:c>
      <x:c r="R80" s="3"/>
    </x:row>
    <x:row r="81" ht="22" customHeight="1">
      <x:c r="A81" s="8"/>
      <x:c r="B81" s="8"/>
      <x:c r="C81" s="8"/>
      <x:c r="D81" s="8"/>
      <x:c r="E81" s="7"/>
      <x:c r="F81" s="7"/>
      <x:c r="G81" s="7"/>
      <x:c r="H81" s="7"/>
      <x:c r="I81" s="7"/>
      <x:c r="J81" s="8"/>
      <x:c r="K81" s="7"/>
      <x:c r="L81" s="7"/>
      <x:c r="M81" s="7"/>
      <x:c r="N81" s="7"/>
      <x:c r="O81" s="7"/>
      <x:c r="P81" s="7"/>
      <x:c r="Q81" s="3" t="str">
        <x:f>IF(COUNTA(A81:P81)=0,"",IFERROR(IF(AND(A81&lt;&gt;"",COUNTIF($A$2:$A$201,A81)=1,OR(LEFT(B81,2)="V-",LEFT(B81,4)="SYN-"),LEN(MID(B81,IF(LEFT(B81,2)="V-",3,5),30))&gt;0,ISNUMBER(VALUE(MID(B81,IF(LEFT(B81,2)="V-",3,5),30))),VALUE(MID(B81,IF(LEFT(B81,2)="V-",3,5),30))&gt;=0,MOD(VALUE(MID(B81,IF(LEFT(B81,2)="V-",3,5),30)),1)=0,COUNTIFS(Slots!$A$2:$A$31,"E2",Slots!$B$2:$B$31,C81)=1,ISNUMBER(SEARCH("|"&amp;D81&amp;"|","|"&amp;Settings!$B$9&amp;"|")),OR(E81="regular",E81="first"),OR(F81="include",F81="duplicate",F81="late"),OR(H81="yes",H81="no"),OR(I81="success",I81="failed",I81="unknown",I81="not_sent"),OR(K81="yes",K81="no",K81="none",K81="conflict",K81="unknown"),OR(L81="text",L81="emoji",L81="voice",L81="none",L81="unknown"),OR(M81="yes",M81="no",M81="unknown"),OR(N81="yes",N81="no",N81="unknown"),ISNUMBER(O81),OR(O81=0,O81=1),OR(P81="",P81="soft_yes",P81="forgot",P81="time_place",P81="clash",P81="travel",P81="personal",P81="unknown",P81="silent_but_came"),OR(I81&lt;&gt;"success",AND(J81&lt;&gt;"",COUNTIFS($J$2:$J$201,J81,$I$2:$I$201,"success")=1)),OR(I81&lt;&gt;"not_sent",J81=""),IF(F81="duplicate",AND(COUNTIFS($A$2:$A$201,G81,$B$2:$B$201,B81,$C$2:$C$201,C81,$F$2:$F$201,"include")=1,H81="no",I81="not_sent",K81="none",M81="no",N81="no",O81=0),AND(G81="",N81&lt;&gt;"unknown",COUNTIFS($B$2:$B$201,B81,$F$2:$F$201,"&lt;&gt;duplicate")=1)),IF(F81="include",AND(H81="yes",K81&lt;&gt;"conflict",K81&lt;&gt;"unknown",M81&lt;&gt;"unknown",IF(OR(K81="yes",K81="no"),AND(M81="yes",OR(L81="text",L81="emoji",L81="voice")),L81="none")),TRUE),IF(F81="late",AND(H81="no",I81="not_sent",K81="none",L81="none",O81=0),TRUE)),"OK","CHECK"),"CHECK"))</x:f>
      </x:c>
      <x:c r="R81" s="3"/>
    </x:row>
    <x:row r="82" ht="22" customHeight="1">
      <x:c r="A82" s="8"/>
      <x:c r="B82" s="8"/>
      <x:c r="C82" s="8"/>
      <x:c r="D82" s="8"/>
      <x:c r="E82" s="7"/>
      <x:c r="F82" s="7"/>
      <x:c r="G82" s="7"/>
      <x:c r="H82" s="7"/>
      <x:c r="I82" s="7"/>
      <x:c r="J82" s="8"/>
      <x:c r="K82" s="7"/>
      <x:c r="L82" s="7"/>
      <x:c r="M82" s="7"/>
      <x:c r="N82" s="7"/>
      <x:c r="O82" s="7"/>
      <x:c r="P82" s="7"/>
      <x:c r="Q82" s="3" t="str">
        <x:f>IF(COUNTA(A82:P82)=0,"",IFERROR(IF(AND(A82&lt;&gt;"",COUNTIF($A$2:$A$201,A82)=1,OR(LEFT(B82,2)="V-",LEFT(B82,4)="SYN-"),LEN(MID(B82,IF(LEFT(B82,2)="V-",3,5),30))&gt;0,ISNUMBER(VALUE(MID(B82,IF(LEFT(B82,2)="V-",3,5),30))),VALUE(MID(B82,IF(LEFT(B82,2)="V-",3,5),30))&gt;=0,MOD(VALUE(MID(B82,IF(LEFT(B82,2)="V-",3,5),30)),1)=0,COUNTIFS(Slots!$A$2:$A$31,"E2",Slots!$B$2:$B$31,C82)=1,ISNUMBER(SEARCH("|"&amp;D82&amp;"|","|"&amp;Settings!$B$9&amp;"|")),OR(E82="regular",E82="first"),OR(F82="include",F82="duplicate",F82="late"),OR(H82="yes",H82="no"),OR(I82="success",I82="failed",I82="unknown",I82="not_sent"),OR(K82="yes",K82="no",K82="none",K82="conflict",K82="unknown"),OR(L82="text",L82="emoji",L82="voice",L82="none",L82="unknown"),OR(M82="yes",M82="no",M82="unknown"),OR(N82="yes",N82="no",N82="unknown"),ISNUMBER(O82),OR(O82=0,O82=1),OR(P82="",P82="soft_yes",P82="forgot",P82="time_place",P82="clash",P82="travel",P82="personal",P82="unknown",P82="silent_but_came"),OR(I82&lt;&gt;"success",AND(J82&lt;&gt;"",COUNTIFS($J$2:$J$201,J82,$I$2:$I$201,"success")=1)),OR(I82&lt;&gt;"not_sent",J82=""),IF(F82="duplicate",AND(COUNTIFS($A$2:$A$201,G82,$B$2:$B$201,B82,$C$2:$C$201,C82,$F$2:$F$201,"include")=1,H82="no",I82="not_sent",K82="none",M82="no",N82="no",O82=0),AND(G82="",N82&lt;&gt;"unknown",COUNTIFS($B$2:$B$201,B82,$F$2:$F$201,"&lt;&gt;duplicate")=1)),IF(F82="include",AND(H82="yes",K82&lt;&gt;"conflict",K82&lt;&gt;"unknown",M82&lt;&gt;"unknown",IF(OR(K82="yes",K82="no"),AND(M82="yes",OR(L82="text",L82="emoji",L82="voice")),L82="none")),TRUE),IF(F82="late",AND(H82="no",I82="not_sent",K82="none",L82="none",O82=0),TRUE)),"OK","CHECK"),"CHECK"))</x:f>
      </x:c>
      <x:c r="R82" s="3"/>
    </x:row>
    <x:row r="83" ht="22" customHeight="1">
      <x:c r="A83" s="8"/>
      <x:c r="B83" s="8"/>
      <x:c r="C83" s="8"/>
      <x:c r="D83" s="8"/>
      <x:c r="E83" s="7"/>
      <x:c r="F83" s="7"/>
      <x:c r="G83" s="7"/>
      <x:c r="H83" s="7"/>
      <x:c r="I83" s="7"/>
      <x:c r="J83" s="8"/>
      <x:c r="K83" s="7"/>
      <x:c r="L83" s="7"/>
      <x:c r="M83" s="7"/>
      <x:c r="N83" s="7"/>
      <x:c r="O83" s="7"/>
      <x:c r="P83" s="7"/>
      <x:c r="Q83" s="3" t="str">
        <x:f>IF(COUNTA(A83:P83)=0,"",IFERROR(IF(AND(A83&lt;&gt;"",COUNTIF($A$2:$A$201,A83)=1,OR(LEFT(B83,2)="V-",LEFT(B83,4)="SYN-"),LEN(MID(B83,IF(LEFT(B83,2)="V-",3,5),30))&gt;0,ISNUMBER(VALUE(MID(B83,IF(LEFT(B83,2)="V-",3,5),30))),VALUE(MID(B83,IF(LEFT(B83,2)="V-",3,5),30))&gt;=0,MOD(VALUE(MID(B83,IF(LEFT(B83,2)="V-",3,5),30)),1)=0,COUNTIFS(Slots!$A$2:$A$31,"E2",Slots!$B$2:$B$31,C83)=1,ISNUMBER(SEARCH("|"&amp;D83&amp;"|","|"&amp;Settings!$B$9&amp;"|")),OR(E83="regular",E83="first"),OR(F83="include",F83="duplicate",F83="late"),OR(H83="yes",H83="no"),OR(I83="success",I83="failed",I83="unknown",I83="not_sent"),OR(K83="yes",K83="no",K83="none",K83="conflict",K83="unknown"),OR(L83="text",L83="emoji",L83="voice",L83="none",L83="unknown"),OR(M83="yes",M83="no",M83="unknown"),OR(N83="yes",N83="no",N83="unknown"),ISNUMBER(O83),OR(O83=0,O83=1),OR(P83="",P83="soft_yes",P83="forgot",P83="time_place",P83="clash",P83="travel",P83="personal",P83="unknown",P83="silent_but_came"),OR(I83&lt;&gt;"success",AND(J83&lt;&gt;"",COUNTIFS($J$2:$J$201,J83,$I$2:$I$201,"success")=1)),OR(I83&lt;&gt;"not_sent",J83=""),IF(F83="duplicate",AND(COUNTIFS($A$2:$A$201,G83,$B$2:$B$201,B83,$C$2:$C$201,C83,$F$2:$F$201,"include")=1,H83="no",I83="not_sent",K83="none",M83="no",N83="no",O83=0),AND(G83="",N83&lt;&gt;"unknown",COUNTIFS($B$2:$B$201,B83,$F$2:$F$201,"&lt;&gt;duplicate")=1)),IF(F83="include",AND(H83="yes",K83&lt;&gt;"conflict",K83&lt;&gt;"unknown",M83&lt;&gt;"unknown",IF(OR(K83="yes",K83="no"),AND(M83="yes",OR(L83="text",L83="emoji",L83="voice")),L83="none")),TRUE),IF(F83="late",AND(H83="no",I83="not_sent",K83="none",L83="none",O83=0),TRUE)),"OK","CHECK"),"CHECK"))</x:f>
      </x:c>
      <x:c r="R83" s="3"/>
    </x:row>
    <x:row r="84" ht="22" customHeight="1">
      <x:c r="A84" s="8"/>
      <x:c r="B84" s="8"/>
      <x:c r="C84" s="8"/>
      <x:c r="D84" s="8"/>
      <x:c r="E84" s="7"/>
      <x:c r="F84" s="7"/>
      <x:c r="G84" s="7"/>
      <x:c r="H84" s="7"/>
      <x:c r="I84" s="7"/>
      <x:c r="J84" s="8"/>
      <x:c r="K84" s="7"/>
      <x:c r="L84" s="7"/>
      <x:c r="M84" s="7"/>
      <x:c r="N84" s="7"/>
      <x:c r="O84" s="7"/>
      <x:c r="P84" s="7"/>
      <x:c r="Q84" s="3" t="str">
        <x:f>IF(COUNTA(A84:P84)=0,"",IFERROR(IF(AND(A84&lt;&gt;"",COUNTIF($A$2:$A$201,A84)=1,OR(LEFT(B84,2)="V-",LEFT(B84,4)="SYN-"),LEN(MID(B84,IF(LEFT(B84,2)="V-",3,5),30))&gt;0,ISNUMBER(VALUE(MID(B84,IF(LEFT(B84,2)="V-",3,5),30))),VALUE(MID(B84,IF(LEFT(B84,2)="V-",3,5),30))&gt;=0,MOD(VALUE(MID(B84,IF(LEFT(B84,2)="V-",3,5),30)),1)=0,COUNTIFS(Slots!$A$2:$A$31,"E2",Slots!$B$2:$B$31,C84)=1,ISNUMBER(SEARCH("|"&amp;D84&amp;"|","|"&amp;Settings!$B$9&amp;"|")),OR(E84="regular",E84="first"),OR(F84="include",F84="duplicate",F84="late"),OR(H84="yes",H84="no"),OR(I84="success",I84="failed",I84="unknown",I84="not_sent"),OR(K84="yes",K84="no",K84="none",K84="conflict",K84="unknown"),OR(L84="text",L84="emoji",L84="voice",L84="none",L84="unknown"),OR(M84="yes",M84="no",M84="unknown"),OR(N84="yes",N84="no",N84="unknown"),ISNUMBER(O84),OR(O84=0,O84=1),OR(P84="",P84="soft_yes",P84="forgot",P84="time_place",P84="clash",P84="travel",P84="personal",P84="unknown",P84="silent_but_came"),OR(I84&lt;&gt;"success",AND(J84&lt;&gt;"",COUNTIFS($J$2:$J$201,J84,$I$2:$I$201,"success")=1)),OR(I84&lt;&gt;"not_sent",J84=""),IF(F84="duplicate",AND(COUNTIFS($A$2:$A$201,G84,$B$2:$B$201,B84,$C$2:$C$201,C84,$F$2:$F$201,"include")=1,H84="no",I84="not_sent",K84="none",M84="no",N84="no",O84=0),AND(G84="",N84&lt;&gt;"unknown",COUNTIFS($B$2:$B$201,B84,$F$2:$F$201,"&lt;&gt;duplicate")=1)),IF(F84="include",AND(H84="yes",K84&lt;&gt;"conflict",K84&lt;&gt;"unknown",M84&lt;&gt;"unknown",IF(OR(K84="yes",K84="no"),AND(M84="yes",OR(L84="text",L84="emoji",L84="voice")),L84="none")),TRUE),IF(F84="late",AND(H84="no",I84="not_sent",K84="none",L84="none",O84=0),TRUE)),"OK","CHECK"),"CHECK"))</x:f>
      </x:c>
      <x:c r="R84" s="3"/>
    </x:row>
    <x:row r="85" ht="22" customHeight="1">
      <x:c r="A85" s="8"/>
      <x:c r="B85" s="8"/>
      <x:c r="C85" s="8"/>
      <x:c r="D85" s="8"/>
      <x:c r="E85" s="7"/>
      <x:c r="F85" s="7"/>
      <x:c r="G85" s="7"/>
      <x:c r="H85" s="7"/>
      <x:c r="I85" s="7"/>
      <x:c r="J85" s="8"/>
      <x:c r="K85" s="7"/>
      <x:c r="L85" s="7"/>
      <x:c r="M85" s="7"/>
      <x:c r="N85" s="7"/>
      <x:c r="O85" s="7"/>
      <x:c r="P85" s="7"/>
      <x:c r="Q85" s="3" t="str">
        <x:f>IF(COUNTA(A85:P85)=0,"",IFERROR(IF(AND(A85&lt;&gt;"",COUNTIF($A$2:$A$201,A85)=1,OR(LEFT(B85,2)="V-",LEFT(B85,4)="SYN-"),LEN(MID(B85,IF(LEFT(B85,2)="V-",3,5),30))&gt;0,ISNUMBER(VALUE(MID(B85,IF(LEFT(B85,2)="V-",3,5),30))),VALUE(MID(B85,IF(LEFT(B85,2)="V-",3,5),30))&gt;=0,MOD(VALUE(MID(B85,IF(LEFT(B85,2)="V-",3,5),30)),1)=0,COUNTIFS(Slots!$A$2:$A$31,"E2",Slots!$B$2:$B$31,C85)=1,ISNUMBER(SEARCH("|"&amp;D85&amp;"|","|"&amp;Settings!$B$9&amp;"|")),OR(E85="regular",E85="first"),OR(F85="include",F85="duplicate",F85="late"),OR(H85="yes",H85="no"),OR(I85="success",I85="failed",I85="unknown",I85="not_sent"),OR(K85="yes",K85="no",K85="none",K85="conflict",K85="unknown"),OR(L85="text",L85="emoji",L85="voice",L85="none",L85="unknown"),OR(M85="yes",M85="no",M85="unknown"),OR(N85="yes",N85="no",N85="unknown"),ISNUMBER(O85),OR(O85=0,O85=1),OR(P85="",P85="soft_yes",P85="forgot",P85="time_place",P85="clash",P85="travel",P85="personal",P85="unknown",P85="silent_but_came"),OR(I85&lt;&gt;"success",AND(J85&lt;&gt;"",COUNTIFS($J$2:$J$201,J85,$I$2:$I$201,"success")=1)),OR(I85&lt;&gt;"not_sent",J85=""),IF(F85="duplicate",AND(COUNTIFS($A$2:$A$201,G85,$B$2:$B$201,B85,$C$2:$C$201,C85,$F$2:$F$201,"include")=1,H85="no",I85="not_sent",K85="none",M85="no",N85="no",O85=0),AND(G85="",N85&lt;&gt;"unknown",COUNTIFS($B$2:$B$201,B85,$F$2:$F$201,"&lt;&gt;duplicate")=1)),IF(F85="include",AND(H85="yes",K85&lt;&gt;"conflict",K85&lt;&gt;"unknown",M85&lt;&gt;"unknown",IF(OR(K85="yes",K85="no"),AND(M85="yes",OR(L85="text",L85="emoji",L85="voice")),L85="none")),TRUE),IF(F85="late",AND(H85="no",I85="not_sent",K85="none",L85="none",O85=0),TRUE)),"OK","CHECK"),"CHECK"))</x:f>
      </x:c>
      <x:c r="R85" s="3"/>
    </x:row>
    <x:row r="86" ht="22" customHeight="1">
      <x:c r="A86" s="8"/>
      <x:c r="B86" s="8"/>
      <x:c r="C86" s="8"/>
      <x:c r="D86" s="8"/>
      <x:c r="E86" s="7"/>
      <x:c r="F86" s="7"/>
      <x:c r="G86" s="7"/>
      <x:c r="H86" s="7"/>
      <x:c r="I86" s="7"/>
      <x:c r="J86" s="8"/>
      <x:c r="K86" s="7"/>
      <x:c r="L86" s="7"/>
      <x:c r="M86" s="7"/>
      <x:c r="N86" s="7"/>
      <x:c r="O86" s="7"/>
      <x:c r="P86" s="7"/>
      <x:c r="Q86" s="3" t="str">
        <x:f>IF(COUNTA(A86:P86)=0,"",IFERROR(IF(AND(A86&lt;&gt;"",COUNTIF($A$2:$A$201,A86)=1,OR(LEFT(B86,2)="V-",LEFT(B86,4)="SYN-"),LEN(MID(B86,IF(LEFT(B86,2)="V-",3,5),30))&gt;0,ISNUMBER(VALUE(MID(B86,IF(LEFT(B86,2)="V-",3,5),30))),VALUE(MID(B86,IF(LEFT(B86,2)="V-",3,5),30))&gt;=0,MOD(VALUE(MID(B86,IF(LEFT(B86,2)="V-",3,5),30)),1)=0,COUNTIFS(Slots!$A$2:$A$31,"E2",Slots!$B$2:$B$31,C86)=1,ISNUMBER(SEARCH("|"&amp;D86&amp;"|","|"&amp;Settings!$B$9&amp;"|")),OR(E86="regular",E86="first"),OR(F86="include",F86="duplicate",F86="late"),OR(H86="yes",H86="no"),OR(I86="success",I86="failed",I86="unknown",I86="not_sent"),OR(K86="yes",K86="no",K86="none",K86="conflict",K86="unknown"),OR(L86="text",L86="emoji",L86="voice",L86="none",L86="unknown"),OR(M86="yes",M86="no",M86="unknown"),OR(N86="yes",N86="no",N86="unknown"),ISNUMBER(O86),OR(O86=0,O86=1),OR(P86="",P86="soft_yes",P86="forgot",P86="time_place",P86="clash",P86="travel",P86="personal",P86="unknown",P86="silent_but_came"),OR(I86&lt;&gt;"success",AND(J86&lt;&gt;"",COUNTIFS($J$2:$J$201,J86,$I$2:$I$201,"success")=1)),OR(I86&lt;&gt;"not_sent",J86=""),IF(F86="duplicate",AND(COUNTIFS($A$2:$A$201,G86,$B$2:$B$201,B86,$C$2:$C$201,C86,$F$2:$F$201,"include")=1,H86="no",I86="not_sent",K86="none",M86="no",N86="no",O86=0),AND(G86="",N86&lt;&gt;"unknown",COUNTIFS($B$2:$B$201,B86,$F$2:$F$201,"&lt;&gt;duplicate")=1)),IF(F86="include",AND(H86="yes",K86&lt;&gt;"conflict",K86&lt;&gt;"unknown",M86&lt;&gt;"unknown",IF(OR(K86="yes",K86="no"),AND(M86="yes",OR(L86="text",L86="emoji",L86="voice")),L86="none")),TRUE),IF(F86="late",AND(H86="no",I86="not_sent",K86="none",L86="none",O86=0),TRUE)),"OK","CHECK"),"CHECK"))</x:f>
      </x:c>
      <x:c r="R86" s="3"/>
    </x:row>
    <x:row r="87" ht="22" customHeight="1">
      <x:c r="A87" s="8"/>
      <x:c r="B87" s="8"/>
      <x:c r="C87" s="8"/>
      <x:c r="D87" s="8"/>
      <x:c r="E87" s="7"/>
      <x:c r="F87" s="7"/>
      <x:c r="G87" s="7"/>
      <x:c r="H87" s="7"/>
      <x:c r="I87" s="7"/>
      <x:c r="J87" s="8"/>
      <x:c r="K87" s="7"/>
      <x:c r="L87" s="7"/>
      <x:c r="M87" s="7"/>
      <x:c r="N87" s="7"/>
      <x:c r="O87" s="7"/>
      <x:c r="P87" s="7"/>
      <x:c r="Q87" s="3" t="str">
        <x:f>IF(COUNTA(A87:P87)=0,"",IFERROR(IF(AND(A87&lt;&gt;"",COUNTIF($A$2:$A$201,A87)=1,OR(LEFT(B87,2)="V-",LEFT(B87,4)="SYN-"),LEN(MID(B87,IF(LEFT(B87,2)="V-",3,5),30))&gt;0,ISNUMBER(VALUE(MID(B87,IF(LEFT(B87,2)="V-",3,5),30))),VALUE(MID(B87,IF(LEFT(B87,2)="V-",3,5),30))&gt;=0,MOD(VALUE(MID(B87,IF(LEFT(B87,2)="V-",3,5),30)),1)=0,COUNTIFS(Slots!$A$2:$A$31,"E2",Slots!$B$2:$B$31,C87)=1,ISNUMBER(SEARCH("|"&amp;D87&amp;"|","|"&amp;Settings!$B$9&amp;"|")),OR(E87="regular",E87="first"),OR(F87="include",F87="duplicate",F87="late"),OR(H87="yes",H87="no"),OR(I87="success",I87="failed",I87="unknown",I87="not_sent"),OR(K87="yes",K87="no",K87="none",K87="conflict",K87="unknown"),OR(L87="text",L87="emoji",L87="voice",L87="none",L87="unknown"),OR(M87="yes",M87="no",M87="unknown"),OR(N87="yes",N87="no",N87="unknown"),ISNUMBER(O87),OR(O87=0,O87=1),OR(P87="",P87="soft_yes",P87="forgot",P87="time_place",P87="clash",P87="travel",P87="personal",P87="unknown",P87="silent_but_came"),OR(I87&lt;&gt;"success",AND(J87&lt;&gt;"",COUNTIFS($J$2:$J$201,J87,$I$2:$I$201,"success")=1)),OR(I87&lt;&gt;"not_sent",J87=""),IF(F87="duplicate",AND(COUNTIFS($A$2:$A$201,G87,$B$2:$B$201,B87,$C$2:$C$201,C87,$F$2:$F$201,"include")=1,H87="no",I87="not_sent",K87="none",M87="no",N87="no",O87=0),AND(G87="",N87&lt;&gt;"unknown",COUNTIFS($B$2:$B$201,B87,$F$2:$F$201,"&lt;&gt;duplicate")=1)),IF(F87="include",AND(H87="yes",K87&lt;&gt;"conflict",K87&lt;&gt;"unknown",M87&lt;&gt;"unknown",IF(OR(K87="yes",K87="no"),AND(M87="yes",OR(L87="text",L87="emoji",L87="voice")),L87="none")),TRUE),IF(F87="late",AND(H87="no",I87="not_sent",K87="none",L87="none",O87=0),TRUE)),"OK","CHECK"),"CHECK"))</x:f>
      </x:c>
      <x:c r="R87" s="3"/>
    </x:row>
    <x:row r="88" ht="22" customHeight="1">
      <x:c r="A88" s="8"/>
      <x:c r="B88" s="8"/>
      <x:c r="C88" s="8"/>
      <x:c r="D88" s="8"/>
      <x:c r="E88" s="7"/>
      <x:c r="F88" s="7"/>
      <x:c r="G88" s="7"/>
      <x:c r="H88" s="7"/>
      <x:c r="I88" s="7"/>
      <x:c r="J88" s="8"/>
      <x:c r="K88" s="7"/>
      <x:c r="L88" s="7"/>
      <x:c r="M88" s="7"/>
      <x:c r="N88" s="7"/>
      <x:c r="O88" s="7"/>
      <x:c r="P88" s="7"/>
      <x:c r="Q88" s="3" t="str">
        <x:f>IF(COUNTA(A88:P88)=0,"",IFERROR(IF(AND(A88&lt;&gt;"",COUNTIF($A$2:$A$201,A88)=1,OR(LEFT(B88,2)="V-",LEFT(B88,4)="SYN-"),LEN(MID(B88,IF(LEFT(B88,2)="V-",3,5),30))&gt;0,ISNUMBER(VALUE(MID(B88,IF(LEFT(B88,2)="V-",3,5),30))),VALUE(MID(B88,IF(LEFT(B88,2)="V-",3,5),30))&gt;=0,MOD(VALUE(MID(B88,IF(LEFT(B88,2)="V-",3,5),30)),1)=0,COUNTIFS(Slots!$A$2:$A$31,"E2",Slots!$B$2:$B$31,C88)=1,ISNUMBER(SEARCH("|"&amp;D88&amp;"|","|"&amp;Settings!$B$9&amp;"|")),OR(E88="regular",E88="first"),OR(F88="include",F88="duplicate",F88="late"),OR(H88="yes",H88="no"),OR(I88="success",I88="failed",I88="unknown",I88="not_sent"),OR(K88="yes",K88="no",K88="none",K88="conflict",K88="unknown"),OR(L88="text",L88="emoji",L88="voice",L88="none",L88="unknown"),OR(M88="yes",M88="no",M88="unknown"),OR(N88="yes",N88="no",N88="unknown"),ISNUMBER(O88),OR(O88=0,O88=1),OR(P88="",P88="soft_yes",P88="forgot",P88="time_place",P88="clash",P88="travel",P88="personal",P88="unknown",P88="silent_but_came"),OR(I88&lt;&gt;"success",AND(J88&lt;&gt;"",COUNTIFS($J$2:$J$201,J88,$I$2:$I$201,"success")=1)),OR(I88&lt;&gt;"not_sent",J88=""),IF(F88="duplicate",AND(COUNTIFS($A$2:$A$201,G88,$B$2:$B$201,B88,$C$2:$C$201,C88,$F$2:$F$201,"include")=1,H88="no",I88="not_sent",K88="none",M88="no",N88="no",O88=0),AND(G88="",N88&lt;&gt;"unknown",COUNTIFS($B$2:$B$201,B88,$F$2:$F$201,"&lt;&gt;duplicate")=1)),IF(F88="include",AND(H88="yes",K88&lt;&gt;"conflict",K88&lt;&gt;"unknown",M88&lt;&gt;"unknown",IF(OR(K88="yes",K88="no"),AND(M88="yes",OR(L88="text",L88="emoji",L88="voice")),L88="none")),TRUE),IF(F88="late",AND(H88="no",I88="not_sent",K88="none",L88="none",O88=0),TRUE)),"OK","CHECK"),"CHECK"))</x:f>
      </x:c>
      <x:c r="R88" s="3"/>
    </x:row>
    <x:row r="89" ht="22" customHeight="1">
      <x:c r="A89" s="8"/>
      <x:c r="B89" s="8"/>
      <x:c r="C89" s="8"/>
      <x:c r="D89" s="8"/>
      <x:c r="E89" s="7"/>
      <x:c r="F89" s="7"/>
      <x:c r="G89" s="7"/>
      <x:c r="H89" s="7"/>
      <x:c r="I89" s="7"/>
      <x:c r="J89" s="8"/>
      <x:c r="K89" s="7"/>
      <x:c r="L89" s="7"/>
      <x:c r="M89" s="7"/>
      <x:c r="N89" s="7"/>
      <x:c r="O89" s="7"/>
      <x:c r="P89" s="7"/>
      <x:c r="Q89" s="3" t="str">
        <x:f>IF(COUNTA(A89:P89)=0,"",IFERROR(IF(AND(A89&lt;&gt;"",COUNTIF($A$2:$A$201,A89)=1,OR(LEFT(B89,2)="V-",LEFT(B89,4)="SYN-"),LEN(MID(B89,IF(LEFT(B89,2)="V-",3,5),30))&gt;0,ISNUMBER(VALUE(MID(B89,IF(LEFT(B89,2)="V-",3,5),30))),VALUE(MID(B89,IF(LEFT(B89,2)="V-",3,5),30))&gt;=0,MOD(VALUE(MID(B89,IF(LEFT(B89,2)="V-",3,5),30)),1)=0,COUNTIFS(Slots!$A$2:$A$31,"E2",Slots!$B$2:$B$31,C89)=1,ISNUMBER(SEARCH("|"&amp;D89&amp;"|","|"&amp;Settings!$B$9&amp;"|")),OR(E89="regular",E89="first"),OR(F89="include",F89="duplicate",F89="late"),OR(H89="yes",H89="no"),OR(I89="success",I89="failed",I89="unknown",I89="not_sent"),OR(K89="yes",K89="no",K89="none",K89="conflict",K89="unknown"),OR(L89="text",L89="emoji",L89="voice",L89="none",L89="unknown"),OR(M89="yes",M89="no",M89="unknown"),OR(N89="yes",N89="no",N89="unknown"),ISNUMBER(O89),OR(O89=0,O89=1),OR(P89="",P89="soft_yes",P89="forgot",P89="time_place",P89="clash",P89="travel",P89="personal",P89="unknown",P89="silent_but_came"),OR(I89&lt;&gt;"success",AND(J89&lt;&gt;"",COUNTIFS($J$2:$J$201,J89,$I$2:$I$201,"success")=1)),OR(I89&lt;&gt;"not_sent",J89=""),IF(F89="duplicate",AND(COUNTIFS($A$2:$A$201,G89,$B$2:$B$201,B89,$C$2:$C$201,C89,$F$2:$F$201,"include")=1,H89="no",I89="not_sent",K89="none",M89="no",N89="no",O89=0),AND(G89="",N89&lt;&gt;"unknown",COUNTIFS($B$2:$B$201,B89,$F$2:$F$201,"&lt;&gt;duplicate")=1)),IF(F89="include",AND(H89="yes",K89&lt;&gt;"conflict",K89&lt;&gt;"unknown",M89&lt;&gt;"unknown",IF(OR(K89="yes",K89="no"),AND(M89="yes",OR(L89="text",L89="emoji",L89="voice")),L89="none")),TRUE),IF(F89="late",AND(H89="no",I89="not_sent",K89="none",L89="none",O89=0),TRUE)),"OK","CHECK"),"CHECK"))</x:f>
      </x:c>
      <x:c r="R89" s="3"/>
    </x:row>
    <x:row r="90" ht="22" customHeight="1">
      <x:c r="A90" s="8"/>
      <x:c r="B90" s="8"/>
      <x:c r="C90" s="8"/>
      <x:c r="D90" s="8"/>
      <x:c r="E90" s="7"/>
      <x:c r="F90" s="7"/>
      <x:c r="G90" s="7"/>
      <x:c r="H90" s="7"/>
      <x:c r="I90" s="7"/>
      <x:c r="J90" s="8"/>
      <x:c r="K90" s="7"/>
      <x:c r="L90" s="7"/>
      <x:c r="M90" s="7"/>
      <x:c r="N90" s="7"/>
      <x:c r="O90" s="7"/>
      <x:c r="P90" s="7"/>
      <x:c r="Q90" s="3" t="str">
        <x:f>IF(COUNTA(A90:P90)=0,"",IFERROR(IF(AND(A90&lt;&gt;"",COUNTIF($A$2:$A$201,A90)=1,OR(LEFT(B90,2)="V-",LEFT(B90,4)="SYN-"),LEN(MID(B90,IF(LEFT(B90,2)="V-",3,5),30))&gt;0,ISNUMBER(VALUE(MID(B90,IF(LEFT(B90,2)="V-",3,5),30))),VALUE(MID(B90,IF(LEFT(B90,2)="V-",3,5),30))&gt;=0,MOD(VALUE(MID(B90,IF(LEFT(B90,2)="V-",3,5),30)),1)=0,COUNTIFS(Slots!$A$2:$A$31,"E2",Slots!$B$2:$B$31,C90)=1,ISNUMBER(SEARCH("|"&amp;D90&amp;"|","|"&amp;Settings!$B$9&amp;"|")),OR(E90="regular",E90="first"),OR(F90="include",F90="duplicate",F90="late"),OR(H90="yes",H90="no"),OR(I90="success",I90="failed",I90="unknown",I90="not_sent"),OR(K90="yes",K90="no",K90="none",K90="conflict",K90="unknown"),OR(L90="text",L90="emoji",L90="voice",L90="none",L90="unknown"),OR(M90="yes",M90="no",M90="unknown"),OR(N90="yes",N90="no",N90="unknown"),ISNUMBER(O90),OR(O90=0,O90=1),OR(P90="",P90="soft_yes",P90="forgot",P90="time_place",P90="clash",P90="travel",P90="personal",P90="unknown",P90="silent_but_came"),OR(I90&lt;&gt;"success",AND(J90&lt;&gt;"",COUNTIFS($J$2:$J$201,J90,$I$2:$I$201,"success")=1)),OR(I90&lt;&gt;"not_sent",J90=""),IF(F90="duplicate",AND(COUNTIFS($A$2:$A$201,G90,$B$2:$B$201,B90,$C$2:$C$201,C90,$F$2:$F$201,"include")=1,H90="no",I90="not_sent",K90="none",M90="no",N90="no",O90=0),AND(G90="",N90&lt;&gt;"unknown",COUNTIFS($B$2:$B$201,B90,$F$2:$F$201,"&lt;&gt;duplicate")=1)),IF(F90="include",AND(H90="yes",K90&lt;&gt;"conflict",K90&lt;&gt;"unknown",M90&lt;&gt;"unknown",IF(OR(K90="yes",K90="no"),AND(M90="yes",OR(L90="text",L90="emoji",L90="voice")),L90="none")),TRUE),IF(F90="late",AND(H90="no",I90="not_sent",K90="none",L90="none",O90=0),TRUE)),"OK","CHECK"),"CHECK"))</x:f>
      </x:c>
      <x:c r="R90" s="3"/>
    </x:row>
    <x:row r="91" ht="22" customHeight="1">
      <x:c r="A91" s="8"/>
      <x:c r="B91" s="8"/>
      <x:c r="C91" s="8"/>
      <x:c r="D91" s="8"/>
      <x:c r="E91" s="7"/>
      <x:c r="F91" s="7"/>
      <x:c r="G91" s="7"/>
      <x:c r="H91" s="7"/>
      <x:c r="I91" s="7"/>
      <x:c r="J91" s="8"/>
      <x:c r="K91" s="7"/>
      <x:c r="L91" s="7"/>
      <x:c r="M91" s="7"/>
      <x:c r="N91" s="7"/>
      <x:c r="O91" s="7"/>
      <x:c r="P91" s="7"/>
      <x:c r="Q91" s="3" t="str">
        <x:f>IF(COUNTA(A91:P91)=0,"",IFERROR(IF(AND(A91&lt;&gt;"",COUNTIF($A$2:$A$201,A91)=1,OR(LEFT(B91,2)="V-",LEFT(B91,4)="SYN-"),LEN(MID(B91,IF(LEFT(B91,2)="V-",3,5),30))&gt;0,ISNUMBER(VALUE(MID(B91,IF(LEFT(B91,2)="V-",3,5),30))),VALUE(MID(B91,IF(LEFT(B91,2)="V-",3,5),30))&gt;=0,MOD(VALUE(MID(B91,IF(LEFT(B91,2)="V-",3,5),30)),1)=0,COUNTIFS(Slots!$A$2:$A$31,"E2",Slots!$B$2:$B$31,C91)=1,ISNUMBER(SEARCH("|"&amp;D91&amp;"|","|"&amp;Settings!$B$9&amp;"|")),OR(E91="regular",E91="first"),OR(F91="include",F91="duplicate",F91="late"),OR(H91="yes",H91="no"),OR(I91="success",I91="failed",I91="unknown",I91="not_sent"),OR(K91="yes",K91="no",K91="none",K91="conflict",K91="unknown"),OR(L91="text",L91="emoji",L91="voice",L91="none",L91="unknown"),OR(M91="yes",M91="no",M91="unknown"),OR(N91="yes",N91="no",N91="unknown"),ISNUMBER(O91),OR(O91=0,O91=1),OR(P91="",P91="soft_yes",P91="forgot",P91="time_place",P91="clash",P91="travel",P91="personal",P91="unknown",P91="silent_but_came"),OR(I91&lt;&gt;"success",AND(J91&lt;&gt;"",COUNTIFS($J$2:$J$201,J91,$I$2:$I$201,"success")=1)),OR(I91&lt;&gt;"not_sent",J91=""),IF(F91="duplicate",AND(COUNTIFS($A$2:$A$201,G91,$B$2:$B$201,B91,$C$2:$C$201,C91,$F$2:$F$201,"include")=1,H91="no",I91="not_sent",K91="none",M91="no",N91="no",O91=0),AND(G91="",N91&lt;&gt;"unknown",COUNTIFS($B$2:$B$201,B91,$F$2:$F$201,"&lt;&gt;duplicate")=1)),IF(F91="include",AND(H91="yes",K91&lt;&gt;"conflict",K91&lt;&gt;"unknown",M91&lt;&gt;"unknown",IF(OR(K91="yes",K91="no"),AND(M91="yes",OR(L91="text",L91="emoji",L91="voice")),L91="none")),TRUE),IF(F91="late",AND(H91="no",I91="not_sent",K91="none",L91="none",O91=0),TRUE)),"OK","CHECK"),"CHECK"))</x:f>
      </x:c>
      <x:c r="R91" s="3"/>
    </x:row>
    <x:row r="92" ht="22" customHeight="1">
      <x:c r="A92" s="8"/>
      <x:c r="B92" s="8"/>
      <x:c r="C92" s="8"/>
      <x:c r="D92" s="8"/>
      <x:c r="E92" s="7"/>
      <x:c r="F92" s="7"/>
      <x:c r="G92" s="7"/>
      <x:c r="H92" s="7"/>
      <x:c r="I92" s="7"/>
      <x:c r="J92" s="8"/>
      <x:c r="K92" s="7"/>
      <x:c r="L92" s="7"/>
      <x:c r="M92" s="7"/>
      <x:c r="N92" s="7"/>
      <x:c r="O92" s="7"/>
      <x:c r="P92" s="7"/>
      <x:c r="Q92" s="3" t="str">
        <x:f>IF(COUNTA(A92:P92)=0,"",IFERROR(IF(AND(A92&lt;&gt;"",COUNTIF($A$2:$A$201,A92)=1,OR(LEFT(B92,2)="V-",LEFT(B92,4)="SYN-"),LEN(MID(B92,IF(LEFT(B92,2)="V-",3,5),30))&gt;0,ISNUMBER(VALUE(MID(B92,IF(LEFT(B92,2)="V-",3,5),30))),VALUE(MID(B92,IF(LEFT(B92,2)="V-",3,5),30))&gt;=0,MOD(VALUE(MID(B92,IF(LEFT(B92,2)="V-",3,5),30)),1)=0,COUNTIFS(Slots!$A$2:$A$31,"E2",Slots!$B$2:$B$31,C92)=1,ISNUMBER(SEARCH("|"&amp;D92&amp;"|","|"&amp;Settings!$B$9&amp;"|")),OR(E92="regular",E92="first"),OR(F92="include",F92="duplicate",F92="late"),OR(H92="yes",H92="no"),OR(I92="success",I92="failed",I92="unknown",I92="not_sent"),OR(K92="yes",K92="no",K92="none",K92="conflict",K92="unknown"),OR(L92="text",L92="emoji",L92="voice",L92="none",L92="unknown"),OR(M92="yes",M92="no",M92="unknown"),OR(N92="yes",N92="no",N92="unknown"),ISNUMBER(O92),OR(O92=0,O92=1),OR(P92="",P92="soft_yes",P92="forgot",P92="time_place",P92="clash",P92="travel",P92="personal",P92="unknown",P92="silent_but_came"),OR(I92&lt;&gt;"success",AND(J92&lt;&gt;"",COUNTIFS($J$2:$J$201,J92,$I$2:$I$201,"success")=1)),OR(I92&lt;&gt;"not_sent",J92=""),IF(F92="duplicate",AND(COUNTIFS($A$2:$A$201,G92,$B$2:$B$201,B92,$C$2:$C$201,C92,$F$2:$F$201,"include")=1,H92="no",I92="not_sent",K92="none",M92="no",N92="no",O92=0),AND(G92="",N92&lt;&gt;"unknown",COUNTIFS($B$2:$B$201,B92,$F$2:$F$201,"&lt;&gt;duplicate")=1)),IF(F92="include",AND(H92="yes",K92&lt;&gt;"conflict",K92&lt;&gt;"unknown",M92&lt;&gt;"unknown",IF(OR(K92="yes",K92="no"),AND(M92="yes",OR(L92="text",L92="emoji",L92="voice")),L92="none")),TRUE),IF(F92="late",AND(H92="no",I92="not_sent",K92="none",L92="none",O92=0),TRUE)),"OK","CHECK"),"CHECK"))</x:f>
      </x:c>
      <x:c r="R92" s="3"/>
    </x:row>
    <x:row r="93" ht="22" customHeight="1">
      <x:c r="A93" s="8"/>
      <x:c r="B93" s="8"/>
      <x:c r="C93" s="8"/>
      <x:c r="D93" s="8"/>
      <x:c r="E93" s="7"/>
      <x:c r="F93" s="7"/>
      <x:c r="G93" s="7"/>
      <x:c r="H93" s="7"/>
      <x:c r="I93" s="7"/>
      <x:c r="J93" s="8"/>
      <x:c r="K93" s="7"/>
      <x:c r="L93" s="7"/>
      <x:c r="M93" s="7"/>
      <x:c r="N93" s="7"/>
      <x:c r="O93" s="7"/>
      <x:c r="P93" s="7"/>
      <x:c r="Q93" s="3" t="str">
        <x:f>IF(COUNTA(A93:P93)=0,"",IFERROR(IF(AND(A93&lt;&gt;"",COUNTIF($A$2:$A$201,A93)=1,OR(LEFT(B93,2)="V-",LEFT(B93,4)="SYN-"),LEN(MID(B93,IF(LEFT(B93,2)="V-",3,5),30))&gt;0,ISNUMBER(VALUE(MID(B93,IF(LEFT(B93,2)="V-",3,5),30))),VALUE(MID(B93,IF(LEFT(B93,2)="V-",3,5),30))&gt;=0,MOD(VALUE(MID(B93,IF(LEFT(B93,2)="V-",3,5),30)),1)=0,COUNTIFS(Slots!$A$2:$A$31,"E2",Slots!$B$2:$B$31,C93)=1,ISNUMBER(SEARCH("|"&amp;D93&amp;"|","|"&amp;Settings!$B$9&amp;"|")),OR(E93="regular",E93="first"),OR(F93="include",F93="duplicate",F93="late"),OR(H93="yes",H93="no"),OR(I93="success",I93="failed",I93="unknown",I93="not_sent"),OR(K93="yes",K93="no",K93="none",K93="conflict",K93="unknown"),OR(L93="text",L93="emoji",L93="voice",L93="none",L93="unknown"),OR(M93="yes",M93="no",M93="unknown"),OR(N93="yes",N93="no",N93="unknown"),ISNUMBER(O93),OR(O93=0,O93=1),OR(P93="",P93="soft_yes",P93="forgot",P93="time_place",P93="clash",P93="travel",P93="personal",P93="unknown",P93="silent_but_came"),OR(I93&lt;&gt;"success",AND(J93&lt;&gt;"",COUNTIFS($J$2:$J$201,J93,$I$2:$I$201,"success")=1)),OR(I93&lt;&gt;"not_sent",J93=""),IF(F93="duplicate",AND(COUNTIFS($A$2:$A$201,G93,$B$2:$B$201,B93,$C$2:$C$201,C93,$F$2:$F$201,"include")=1,H93="no",I93="not_sent",K93="none",M93="no",N93="no",O93=0),AND(G93="",N93&lt;&gt;"unknown",COUNTIFS($B$2:$B$201,B93,$F$2:$F$201,"&lt;&gt;duplicate")=1)),IF(F93="include",AND(H93="yes",K93&lt;&gt;"conflict",K93&lt;&gt;"unknown",M93&lt;&gt;"unknown",IF(OR(K93="yes",K93="no"),AND(M93="yes",OR(L93="text",L93="emoji",L93="voice")),L93="none")),TRUE),IF(F93="late",AND(H93="no",I93="not_sent",K93="none",L93="none",O93=0),TRUE)),"OK","CHECK"),"CHECK"))</x:f>
      </x:c>
      <x:c r="R93" s="3"/>
    </x:row>
    <x:row r="94" ht="22" customHeight="1">
      <x:c r="A94" s="8"/>
      <x:c r="B94" s="8"/>
      <x:c r="C94" s="8"/>
      <x:c r="D94" s="8"/>
      <x:c r="E94" s="7"/>
      <x:c r="F94" s="7"/>
      <x:c r="G94" s="7"/>
      <x:c r="H94" s="7"/>
      <x:c r="I94" s="7"/>
      <x:c r="J94" s="8"/>
      <x:c r="K94" s="7"/>
      <x:c r="L94" s="7"/>
      <x:c r="M94" s="7"/>
      <x:c r="N94" s="7"/>
      <x:c r="O94" s="7"/>
      <x:c r="P94" s="7"/>
      <x:c r="Q94" s="3" t="str">
        <x:f>IF(COUNTA(A94:P94)=0,"",IFERROR(IF(AND(A94&lt;&gt;"",COUNTIF($A$2:$A$201,A94)=1,OR(LEFT(B94,2)="V-",LEFT(B94,4)="SYN-"),LEN(MID(B94,IF(LEFT(B94,2)="V-",3,5),30))&gt;0,ISNUMBER(VALUE(MID(B94,IF(LEFT(B94,2)="V-",3,5),30))),VALUE(MID(B94,IF(LEFT(B94,2)="V-",3,5),30))&gt;=0,MOD(VALUE(MID(B94,IF(LEFT(B94,2)="V-",3,5),30)),1)=0,COUNTIFS(Slots!$A$2:$A$31,"E2",Slots!$B$2:$B$31,C94)=1,ISNUMBER(SEARCH("|"&amp;D94&amp;"|","|"&amp;Settings!$B$9&amp;"|")),OR(E94="regular",E94="first"),OR(F94="include",F94="duplicate",F94="late"),OR(H94="yes",H94="no"),OR(I94="success",I94="failed",I94="unknown",I94="not_sent"),OR(K94="yes",K94="no",K94="none",K94="conflict",K94="unknown"),OR(L94="text",L94="emoji",L94="voice",L94="none",L94="unknown"),OR(M94="yes",M94="no",M94="unknown"),OR(N94="yes",N94="no",N94="unknown"),ISNUMBER(O94),OR(O94=0,O94=1),OR(P94="",P94="soft_yes",P94="forgot",P94="time_place",P94="clash",P94="travel",P94="personal",P94="unknown",P94="silent_but_came"),OR(I94&lt;&gt;"success",AND(J94&lt;&gt;"",COUNTIFS($J$2:$J$201,J94,$I$2:$I$201,"success")=1)),OR(I94&lt;&gt;"not_sent",J94=""),IF(F94="duplicate",AND(COUNTIFS($A$2:$A$201,G94,$B$2:$B$201,B94,$C$2:$C$201,C94,$F$2:$F$201,"include")=1,H94="no",I94="not_sent",K94="none",M94="no",N94="no",O94=0),AND(G94="",N94&lt;&gt;"unknown",COUNTIFS($B$2:$B$201,B94,$F$2:$F$201,"&lt;&gt;duplicate")=1)),IF(F94="include",AND(H94="yes",K94&lt;&gt;"conflict",K94&lt;&gt;"unknown",M94&lt;&gt;"unknown",IF(OR(K94="yes",K94="no"),AND(M94="yes",OR(L94="text",L94="emoji",L94="voice")),L94="none")),TRUE),IF(F94="late",AND(H94="no",I94="not_sent",K94="none",L94="none",O94=0),TRUE)),"OK","CHECK"),"CHECK"))</x:f>
      </x:c>
      <x:c r="R94" s="3"/>
    </x:row>
    <x:row r="95" ht="22" customHeight="1">
      <x:c r="A95" s="8"/>
      <x:c r="B95" s="8"/>
      <x:c r="C95" s="8"/>
      <x:c r="D95" s="8"/>
      <x:c r="E95" s="7"/>
      <x:c r="F95" s="7"/>
      <x:c r="G95" s="7"/>
      <x:c r="H95" s="7"/>
      <x:c r="I95" s="7"/>
      <x:c r="J95" s="8"/>
      <x:c r="K95" s="7"/>
      <x:c r="L95" s="7"/>
      <x:c r="M95" s="7"/>
      <x:c r="N95" s="7"/>
      <x:c r="O95" s="7"/>
      <x:c r="P95" s="7"/>
      <x:c r="Q95" s="3" t="str">
        <x:f>IF(COUNTA(A95:P95)=0,"",IFERROR(IF(AND(A95&lt;&gt;"",COUNTIF($A$2:$A$201,A95)=1,OR(LEFT(B95,2)="V-",LEFT(B95,4)="SYN-"),LEN(MID(B95,IF(LEFT(B95,2)="V-",3,5),30))&gt;0,ISNUMBER(VALUE(MID(B95,IF(LEFT(B95,2)="V-",3,5),30))),VALUE(MID(B95,IF(LEFT(B95,2)="V-",3,5),30))&gt;=0,MOD(VALUE(MID(B95,IF(LEFT(B95,2)="V-",3,5),30)),1)=0,COUNTIFS(Slots!$A$2:$A$31,"E2",Slots!$B$2:$B$31,C95)=1,ISNUMBER(SEARCH("|"&amp;D95&amp;"|","|"&amp;Settings!$B$9&amp;"|")),OR(E95="regular",E95="first"),OR(F95="include",F95="duplicate",F95="late"),OR(H95="yes",H95="no"),OR(I95="success",I95="failed",I95="unknown",I95="not_sent"),OR(K95="yes",K95="no",K95="none",K95="conflict",K95="unknown"),OR(L95="text",L95="emoji",L95="voice",L95="none",L95="unknown"),OR(M95="yes",M95="no",M95="unknown"),OR(N95="yes",N95="no",N95="unknown"),ISNUMBER(O95),OR(O95=0,O95=1),OR(P95="",P95="soft_yes",P95="forgot",P95="time_place",P95="clash",P95="travel",P95="personal",P95="unknown",P95="silent_but_came"),OR(I95&lt;&gt;"success",AND(J95&lt;&gt;"",COUNTIFS($J$2:$J$201,J95,$I$2:$I$201,"success")=1)),OR(I95&lt;&gt;"not_sent",J95=""),IF(F95="duplicate",AND(COUNTIFS($A$2:$A$201,G95,$B$2:$B$201,B95,$C$2:$C$201,C95,$F$2:$F$201,"include")=1,H95="no",I95="not_sent",K95="none",M95="no",N95="no",O95=0),AND(G95="",N95&lt;&gt;"unknown",COUNTIFS($B$2:$B$201,B95,$F$2:$F$201,"&lt;&gt;duplicate")=1)),IF(F95="include",AND(H95="yes",K95&lt;&gt;"conflict",K95&lt;&gt;"unknown",M95&lt;&gt;"unknown",IF(OR(K95="yes",K95="no"),AND(M95="yes",OR(L95="text",L95="emoji",L95="voice")),L95="none")),TRUE),IF(F95="late",AND(H95="no",I95="not_sent",K95="none",L95="none",O95=0),TRUE)),"OK","CHECK"),"CHECK"))</x:f>
      </x:c>
      <x:c r="R95" s="3"/>
    </x:row>
    <x:row r="96" ht="22" customHeight="1">
      <x:c r="A96" s="8"/>
      <x:c r="B96" s="8"/>
      <x:c r="C96" s="8"/>
      <x:c r="D96" s="8"/>
      <x:c r="E96" s="7"/>
      <x:c r="F96" s="7"/>
      <x:c r="G96" s="7"/>
      <x:c r="H96" s="7"/>
      <x:c r="I96" s="7"/>
      <x:c r="J96" s="8"/>
      <x:c r="K96" s="7"/>
      <x:c r="L96" s="7"/>
      <x:c r="M96" s="7"/>
      <x:c r="N96" s="7"/>
      <x:c r="O96" s="7"/>
      <x:c r="P96" s="7"/>
      <x:c r="Q96" s="3" t="str">
        <x:f>IF(COUNTA(A96:P96)=0,"",IFERROR(IF(AND(A96&lt;&gt;"",COUNTIF($A$2:$A$201,A96)=1,OR(LEFT(B96,2)="V-",LEFT(B96,4)="SYN-"),LEN(MID(B96,IF(LEFT(B96,2)="V-",3,5),30))&gt;0,ISNUMBER(VALUE(MID(B96,IF(LEFT(B96,2)="V-",3,5),30))),VALUE(MID(B96,IF(LEFT(B96,2)="V-",3,5),30))&gt;=0,MOD(VALUE(MID(B96,IF(LEFT(B96,2)="V-",3,5),30)),1)=0,COUNTIFS(Slots!$A$2:$A$31,"E2",Slots!$B$2:$B$31,C96)=1,ISNUMBER(SEARCH("|"&amp;D96&amp;"|","|"&amp;Settings!$B$9&amp;"|")),OR(E96="regular",E96="first"),OR(F96="include",F96="duplicate",F96="late"),OR(H96="yes",H96="no"),OR(I96="success",I96="failed",I96="unknown",I96="not_sent"),OR(K96="yes",K96="no",K96="none",K96="conflict",K96="unknown"),OR(L96="text",L96="emoji",L96="voice",L96="none",L96="unknown"),OR(M96="yes",M96="no",M96="unknown"),OR(N96="yes",N96="no",N96="unknown"),ISNUMBER(O96),OR(O96=0,O96=1),OR(P96="",P96="soft_yes",P96="forgot",P96="time_place",P96="clash",P96="travel",P96="personal",P96="unknown",P96="silent_but_came"),OR(I96&lt;&gt;"success",AND(J96&lt;&gt;"",COUNTIFS($J$2:$J$201,J96,$I$2:$I$201,"success")=1)),OR(I96&lt;&gt;"not_sent",J96=""),IF(F96="duplicate",AND(COUNTIFS($A$2:$A$201,G96,$B$2:$B$201,B96,$C$2:$C$201,C96,$F$2:$F$201,"include")=1,H96="no",I96="not_sent",K96="none",M96="no",N96="no",O96=0),AND(G96="",N96&lt;&gt;"unknown",COUNTIFS($B$2:$B$201,B96,$F$2:$F$201,"&lt;&gt;duplicate")=1)),IF(F96="include",AND(H96="yes",K96&lt;&gt;"conflict",K96&lt;&gt;"unknown",M96&lt;&gt;"unknown",IF(OR(K96="yes",K96="no"),AND(M96="yes",OR(L96="text",L96="emoji",L96="voice")),L96="none")),TRUE),IF(F96="late",AND(H96="no",I96="not_sent",K96="none",L96="none",O96=0),TRUE)),"OK","CHECK"),"CHECK"))</x:f>
      </x:c>
      <x:c r="R96" s="3"/>
    </x:row>
    <x:row r="97" ht="22" customHeight="1">
      <x:c r="A97" s="8"/>
      <x:c r="B97" s="8"/>
      <x:c r="C97" s="8"/>
      <x:c r="D97" s="8"/>
      <x:c r="E97" s="7"/>
      <x:c r="F97" s="7"/>
      <x:c r="G97" s="7"/>
      <x:c r="H97" s="7"/>
      <x:c r="I97" s="7"/>
      <x:c r="J97" s="8"/>
      <x:c r="K97" s="7"/>
      <x:c r="L97" s="7"/>
      <x:c r="M97" s="7"/>
      <x:c r="N97" s="7"/>
      <x:c r="O97" s="7"/>
      <x:c r="P97" s="7"/>
      <x:c r="Q97" s="3" t="str">
        <x:f>IF(COUNTA(A97:P97)=0,"",IFERROR(IF(AND(A97&lt;&gt;"",COUNTIF($A$2:$A$201,A97)=1,OR(LEFT(B97,2)="V-",LEFT(B97,4)="SYN-"),LEN(MID(B97,IF(LEFT(B97,2)="V-",3,5),30))&gt;0,ISNUMBER(VALUE(MID(B97,IF(LEFT(B97,2)="V-",3,5),30))),VALUE(MID(B97,IF(LEFT(B97,2)="V-",3,5),30))&gt;=0,MOD(VALUE(MID(B97,IF(LEFT(B97,2)="V-",3,5),30)),1)=0,COUNTIFS(Slots!$A$2:$A$31,"E2",Slots!$B$2:$B$31,C97)=1,ISNUMBER(SEARCH("|"&amp;D97&amp;"|","|"&amp;Settings!$B$9&amp;"|")),OR(E97="regular",E97="first"),OR(F97="include",F97="duplicate",F97="late"),OR(H97="yes",H97="no"),OR(I97="success",I97="failed",I97="unknown",I97="not_sent"),OR(K97="yes",K97="no",K97="none",K97="conflict",K97="unknown"),OR(L97="text",L97="emoji",L97="voice",L97="none",L97="unknown"),OR(M97="yes",M97="no",M97="unknown"),OR(N97="yes",N97="no",N97="unknown"),ISNUMBER(O97),OR(O97=0,O97=1),OR(P97="",P97="soft_yes",P97="forgot",P97="time_place",P97="clash",P97="travel",P97="personal",P97="unknown",P97="silent_but_came"),OR(I97&lt;&gt;"success",AND(J97&lt;&gt;"",COUNTIFS($J$2:$J$201,J97,$I$2:$I$201,"success")=1)),OR(I97&lt;&gt;"not_sent",J97=""),IF(F97="duplicate",AND(COUNTIFS($A$2:$A$201,G97,$B$2:$B$201,B97,$C$2:$C$201,C97,$F$2:$F$201,"include")=1,H97="no",I97="not_sent",K97="none",M97="no",N97="no",O97=0),AND(G97="",N97&lt;&gt;"unknown",COUNTIFS($B$2:$B$201,B97,$F$2:$F$201,"&lt;&gt;duplicate")=1)),IF(F97="include",AND(H97="yes",K97&lt;&gt;"conflict",K97&lt;&gt;"unknown",M97&lt;&gt;"unknown",IF(OR(K97="yes",K97="no"),AND(M97="yes",OR(L97="text",L97="emoji",L97="voice")),L97="none")),TRUE),IF(F97="late",AND(H97="no",I97="not_sent",K97="none",L97="none",O97=0),TRUE)),"OK","CHECK"),"CHECK"))</x:f>
      </x:c>
      <x:c r="R97" s="3"/>
    </x:row>
    <x:row r="98" ht="22" customHeight="1">
      <x:c r="A98" s="8"/>
      <x:c r="B98" s="8"/>
      <x:c r="C98" s="8"/>
      <x:c r="D98" s="8"/>
      <x:c r="E98" s="7"/>
      <x:c r="F98" s="7"/>
      <x:c r="G98" s="7"/>
      <x:c r="H98" s="7"/>
      <x:c r="I98" s="7"/>
      <x:c r="J98" s="8"/>
      <x:c r="K98" s="7"/>
      <x:c r="L98" s="7"/>
      <x:c r="M98" s="7"/>
      <x:c r="N98" s="7"/>
      <x:c r="O98" s="7"/>
      <x:c r="P98" s="7"/>
      <x:c r="Q98" s="3" t="str">
        <x:f>IF(COUNTA(A98:P98)=0,"",IFERROR(IF(AND(A98&lt;&gt;"",COUNTIF($A$2:$A$201,A98)=1,OR(LEFT(B98,2)="V-",LEFT(B98,4)="SYN-"),LEN(MID(B98,IF(LEFT(B98,2)="V-",3,5),30))&gt;0,ISNUMBER(VALUE(MID(B98,IF(LEFT(B98,2)="V-",3,5),30))),VALUE(MID(B98,IF(LEFT(B98,2)="V-",3,5),30))&gt;=0,MOD(VALUE(MID(B98,IF(LEFT(B98,2)="V-",3,5),30)),1)=0,COUNTIFS(Slots!$A$2:$A$31,"E2",Slots!$B$2:$B$31,C98)=1,ISNUMBER(SEARCH("|"&amp;D98&amp;"|","|"&amp;Settings!$B$9&amp;"|")),OR(E98="regular",E98="first"),OR(F98="include",F98="duplicate",F98="late"),OR(H98="yes",H98="no"),OR(I98="success",I98="failed",I98="unknown",I98="not_sent"),OR(K98="yes",K98="no",K98="none",K98="conflict",K98="unknown"),OR(L98="text",L98="emoji",L98="voice",L98="none",L98="unknown"),OR(M98="yes",M98="no",M98="unknown"),OR(N98="yes",N98="no",N98="unknown"),ISNUMBER(O98),OR(O98=0,O98=1),OR(P98="",P98="soft_yes",P98="forgot",P98="time_place",P98="clash",P98="travel",P98="personal",P98="unknown",P98="silent_but_came"),OR(I98&lt;&gt;"success",AND(J98&lt;&gt;"",COUNTIFS($J$2:$J$201,J98,$I$2:$I$201,"success")=1)),OR(I98&lt;&gt;"not_sent",J98=""),IF(F98="duplicate",AND(COUNTIFS($A$2:$A$201,G98,$B$2:$B$201,B98,$C$2:$C$201,C98,$F$2:$F$201,"include")=1,H98="no",I98="not_sent",K98="none",M98="no",N98="no",O98=0),AND(G98="",N98&lt;&gt;"unknown",COUNTIFS($B$2:$B$201,B98,$F$2:$F$201,"&lt;&gt;duplicate")=1)),IF(F98="include",AND(H98="yes",K98&lt;&gt;"conflict",K98&lt;&gt;"unknown",M98&lt;&gt;"unknown",IF(OR(K98="yes",K98="no"),AND(M98="yes",OR(L98="text",L98="emoji",L98="voice")),L98="none")),TRUE),IF(F98="late",AND(H98="no",I98="not_sent",K98="none",L98="none",O98=0),TRUE)),"OK","CHECK"),"CHECK"))</x:f>
      </x:c>
      <x:c r="R98" s="3"/>
    </x:row>
    <x:row r="99" ht="22" customHeight="1">
      <x:c r="A99" s="8"/>
      <x:c r="B99" s="8"/>
      <x:c r="C99" s="8"/>
      <x:c r="D99" s="8"/>
      <x:c r="E99" s="7"/>
      <x:c r="F99" s="7"/>
      <x:c r="G99" s="7"/>
      <x:c r="H99" s="7"/>
      <x:c r="I99" s="7"/>
      <x:c r="J99" s="8"/>
      <x:c r="K99" s="7"/>
      <x:c r="L99" s="7"/>
      <x:c r="M99" s="7"/>
      <x:c r="N99" s="7"/>
      <x:c r="O99" s="7"/>
      <x:c r="P99" s="7"/>
      <x:c r="Q99" s="3" t="str">
        <x:f>IF(COUNTA(A99:P99)=0,"",IFERROR(IF(AND(A99&lt;&gt;"",COUNTIF($A$2:$A$201,A99)=1,OR(LEFT(B99,2)="V-",LEFT(B99,4)="SYN-"),LEN(MID(B99,IF(LEFT(B99,2)="V-",3,5),30))&gt;0,ISNUMBER(VALUE(MID(B99,IF(LEFT(B99,2)="V-",3,5),30))),VALUE(MID(B99,IF(LEFT(B99,2)="V-",3,5),30))&gt;=0,MOD(VALUE(MID(B99,IF(LEFT(B99,2)="V-",3,5),30)),1)=0,COUNTIFS(Slots!$A$2:$A$31,"E2",Slots!$B$2:$B$31,C99)=1,ISNUMBER(SEARCH("|"&amp;D99&amp;"|","|"&amp;Settings!$B$9&amp;"|")),OR(E99="regular",E99="first"),OR(F99="include",F99="duplicate",F99="late"),OR(H99="yes",H99="no"),OR(I99="success",I99="failed",I99="unknown",I99="not_sent"),OR(K99="yes",K99="no",K99="none",K99="conflict",K99="unknown"),OR(L99="text",L99="emoji",L99="voice",L99="none",L99="unknown"),OR(M99="yes",M99="no",M99="unknown"),OR(N99="yes",N99="no",N99="unknown"),ISNUMBER(O99),OR(O99=0,O99=1),OR(P99="",P99="soft_yes",P99="forgot",P99="time_place",P99="clash",P99="travel",P99="personal",P99="unknown",P99="silent_but_came"),OR(I99&lt;&gt;"success",AND(J99&lt;&gt;"",COUNTIFS($J$2:$J$201,J99,$I$2:$I$201,"success")=1)),OR(I99&lt;&gt;"not_sent",J99=""),IF(F99="duplicate",AND(COUNTIFS($A$2:$A$201,G99,$B$2:$B$201,B99,$C$2:$C$201,C99,$F$2:$F$201,"include")=1,H99="no",I99="not_sent",K99="none",M99="no",N99="no",O99=0),AND(G99="",N99&lt;&gt;"unknown",COUNTIFS($B$2:$B$201,B99,$F$2:$F$201,"&lt;&gt;duplicate")=1)),IF(F99="include",AND(H99="yes",K99&lt;&gt;"conflict",K99&lt;&gt;"unknown",M99&lt;&gt;"unknown",IF(OR(K99="yes",K99="no"),AND(M99="yes",OR(L99="text",L99="emoji",L99="voice")),L99="none")),TRUE),IF(F99="late",AND(H99="no",I99="not_sent",K99="none",L99="none",O99=0),TRUE)),"OK","CHECK"),"CHECK"))</x:f>
      </x:c>
      <x:c r="R99" s="3"/>
    </x:row>
    <x:row r="100" ht="22" customHeight="1">
      <x:c r="A100" s="8"/>
      <x:c r="B100" s="8"/>
      <x:c r="C100" s="8"/>
      <x:c r="D100" s="8"/>
      <x:c r="E100" s="7"/>
      <x:c r="F100" s="7"/>
      <x:c r="G100" s="7"/>
      <x:c r="H100" s="7"/>
      <x:c r="I100" s="7"/>
      <x:c r="J100" s="8"/>
      <x:c r="K100" s="7"/>
      <x:c r="L100" s="7"/>
      <x:c r="M100" s="7"/>
      <x:c r="N100" s="7"/>
      <x:c r="O100" s="7"/>
      <x:c r="P100" s="7"/>
      <x:c r="Q100" s="3" t="str">
        <x:f>IF(COUNTA(A100:P100)=0,"",IFERROR(IF(AND(A100&lt;&gt;"",COUNTIF($A$2:$A$201,A100)=1,OR(LEFT(B100,2)="V-",LEFT(B100,4)="SYN-"),LEN(MID(B100,IF(LEFT(B100,2)="V-",3,5),30))&gt;0,ISNUMBER(VALUE(MID(B100,IF(LEFT(B100,2)="V-",3,5),30))),VALUE(MID(B100,IF(LEFT(B100,2)="V-",3,5),30))&gt;=0,MOD(VALUE(MID(B100,IF(LEFT(B100,2)="V-",3,5),30)),1)=0,COUNTIFS(Slots!$A$2:$A$31,"E2",Slots!$B$2:$B$31,C100)=1,ISNUMBER(SEARCH("|"&amp;D100&amp;"|","|"&amp;Settings!$B$9&amp;"|")),OR(E100="regular",E100="first"),OR(F100="include",F100="duplicate",F100="late"),OR(H100="yes",H100="no"),OR(I100="success",I100="failed",I100="unknown",I100="not_sent"),OR(K100="yes",K100="no",K100="none",K100="conflict",K100="unknown"),OR(L100="text",L100="emoji",L100="voice",L100="none",L100="unknown"),OR(M100="yes",M100="no",M100="unknown"),OR(N100="yes",N100="no",N100="unknown"),ISNUMBER(O100),OR(O100=0,O100=1),OR(P100="",P100="soft_yes",P100="forgot",P100="time_place",P100="clash",P100="travel",P100="personal",P100="unknown",P100="silent_but_came"),OR(I100&lt;&gt;"success",AND(J100&lt;&gt;"",COUNTIFS($J$2:$J$201,J100,$I$2:$I$201,"success")=1)),OR(I100&lt;&gt;"not_sent",J100=""),IF(F100="duplicate",AND(COUNTIFS($A$2:$A$201,G100,$B$2:$B$201,B100,$C$2:$C$201,C100,$F$2:$F$201,"include")=1,H100="no",I100="not_sent",K100="none",M100="no",N100="no",O100=0),AND(G100="",N100&lt;&gt;"unknown",COUNTIFS($B$2:$B$201,B100,$F$2:$F$201,"&lt;&gt;duplicate")=1)),IF(F100="include",AND(H100="yes",K100&lt;&gt;"conflict",K100&lt;&gt;"unknown",M100&lt;&gt;"unknown",IF(OR(K100="yes",K100="no"),AND(M100="yes",OR(L100="text",L100="emoji",L100="voice")),L100="none")),TRUE),IF(F100="late",AND(H100="no",I100="not_sent",K100="none",L100="none",O100=0),TRUE)),"OK","CHECK"),"CHECK"))</x:f>
      </x:c>
      <x:c r="R100" s="3"/>
    </x:row>
    <x:row r="101" ht="22" customHeight="1">
      <x:c r="A101" s="8"/>
      <x:c r="B101" s="8"/>
      <x:c r="C101" s="8"/>
      <x:c r="D101" s="8"/>
      <x:c r="E101" s="7"/>
      <x:c r="F101" s="7"/>
      <x:c r="G101" s="7"/>
      <x:c r="H101" s="7"/>
      <x:c r="I101" s="7"/>
      <x:c r="J101" s="8"/>
      <x:c r="K101" s="7"/>
      <x:c r="L101" s="7"/>
      <x:c r="M101" s="7"/>
      <x:c r="N101" s="7"/>
      <x:c r="O101" s="7"/>
      <x:c r="P101" s="7"/>
      <x:c r="Q101" s="3" t="str">
        <x:f>IF(COUNTA(A101:P101)=0,"",IFERROR(IF(AND(A101&lt;&gt;"",COUNTIF($A$2:$A$201,A101)=1,OR(LEFT(B101,2)="V-",LEFT(B101,4)="SYN-"),LEN(MID(B101,IF(LEFT(B101,2)="V-",3,5),30))&gt;0,ISNUMBER(VALUE(MID(B101,IF(LEFT(B101,2)="V-",3,5),30))),VALUE(MID(B101,IF(LEFT(B101,2)="V-",3,5),30))&gt;=0,MOD(VALUE(MID(B101,IF(LEFT(B101,2)="V-",3,5),30)),1)=0,COUNTIFS(Slots!$A$2:$A$31,"E2",Slots!$B$2:$B$31,C101)=1,ISNUMBER(SEARCH("|"&amp;D101&amp;"|","|"&amp;Settings!$B$9&amp;"|")),OR(E101="regular",E101="first"),OR(F101="include",F101="duplicate",F101="late"),OR(H101="yes",H101="no"),OR(I101="success",I101="failed",I101="unknown",I101="not_sent"),OR(K101="yes",K101="no",K101="none",K101="conflict",K101="unknown"),OR(L101="text",L101="emoji",L101="voice",L101="none",L101="unknown"),OR(M101="yes",M101="no",M101="unknown"),OR(N101="yes",N101="no",N101="unknown"),ISNUMBER(O101),OR(O101=0,O101=1),OR(P101="",P101="soft_yes",P101="forgot",P101="time_place",P101="clash",P101="travel",P101="personal",P101="unknown",P101="silent_but_came"),OR(I101&lt;&gt;"success",AND(J101&lt;&gt;"",COUNTIFS($J$2:$J$201,J101,$I$2:$I$201,"success")=1)),OR(I101&lt;&gt;"not_sent",J101=""),IF(F101="duplicate",AND(COUNTIFS($A$2:$A$201,G101,$B$2:$B$201,B101,$C$2:$C$201,C101,$F$2:$F$201,"include")=1,H101="no",I101="not_sent",K101="none",M101="no",N101="no",O101=0),AND(G101="",N101&lt;&gt;"unknown",COUNTIFS($B$2:$B$201,B101,$F$2:$F$201,"&lt;&gt;duplicate")=1)),IF(F101="include",AND(H101="yes",K101&lt;&gt;"conflict",K101&lt;&gt;"unknown",M101&lt;&gt;"unknown",IF(OR(K101="yes",K101="no"),AND(M101="yes",OR(L101="text",L101="emoji",L101="voice")),L101="none")),TRUE),IF(F101="late",AND(H101="no",I101="not_sent",K101="none",L101="none",O101=0),TRUE)),"OK","CHECK"),"CHECK"))</x:f>
      </x:c>
      <x:c r="R101" s="3"/>
    </x:row>
    <x:row r="102" ht="22" customHeight="1">
      <x:c r="A102" s="8"/>
      <x:c r="B102" s="8"/>
      <x:c r="C102" s="8"/>
      <x:c r="D102" s="8"/>
      <x:c r="E102" s="7"/>
      <x:c r="F102" s="7"/>
      <x:c r="G102" s="7"/>
      <x:c r="H102" s="7"/>
      <x:c r="I102" s="7"/>
      <x:c r="J102" s="8"/>
      <x:c r="K102" s="7"/>
      <x:c r="L102" s="7"/>
      <x:c r="M102" s="7"/>
      <x:c r="N102" s="7"/>
      <x:c r="O102" s="7"/>
      <x:c r="P102" s="7"/>
      <x:c r="Q102" s="3" t="str">
        <x:f>IF(COUNTA(A102:P102)=0,"",IFERROR(IF(AND(A102&lt;&gt;"",COUNTIF($A$2:$A$201,A102)=1,OR(LEFT(B102,2)="V-",LEFT(B102,4)="SYN-"),LEN(MID(B102,IF(LEFT(B102,2)="V-",3,5),30))&gt;0,ISNUMBER(VALUE(MID(B102,IF(LEFT(B102,2)="V-",3,5),30))),VALUE(MID(B102,IF(LEFT(B102,2)="V-",3,5),30))&gt;=0,MOD(VALUE(MID(B102,IF(LEFT(B102,2)="V-",3,5),30)),1)=0,COUNTIFS(Slots!$A$2:$A$31,"E2",Slots!$B$2:$B$31,C102)=1,ISNUMBER(SEARCH("|"&amp;D102&amp;"|","|"&amp;Settings!$B$9&amp;"|")),OR(E102="regular",E102="first"),OR(F102="include",F102="duplicate",F102="late"),OR(H102="yes",H102="no"),OR(I102="success",I102="failed",I102="unknown",I102="not_sent"),OR(K102="yes",K102="no",K102="none",K102="conflict",K102="unknown"),OR(L102="text",L102="emoji",L102="voice",L102="none",L102="unknown"),OR(M102="yes",M102="no",M102="unknown"),OR(N102="yes",N102="no",N102="unknown"),ISNUMBER(O102),OR(O102=0,O102=1),OR(P102="",P102="soft_yes",P102="forgot",P102="time_place",P102="clash",P102="travel",P102="personal",P102="unknown",P102="silent_but_came"),OR(I102&lt;&gt;"success",AND(J102&lt;&gt;"",COUNTIFS($J$2:$J$201,J102,$I$2:$I$201,"success")=1)),OR(I102&lt;&gt;"not_sent",J102=""),IF(F102="duplicate",AND(COUNTIFS($A$2:$A$201,G102,$B$2:$B$201,B102,$C$2:$C$201,C102,$F$2:$F$201,"include")=1,H102="no",I102="not_sent",K102="none",M102="no",N102="no",O102=0),AND(G102="",N102&lt;&gt;"unknown",COUNTIFS($B$2:$B$201,B102,$F$2:$F$201,"&lt;&gt;duplicate")=1)),IF(F102="include",AND(H102="yes",K102&lt;&gt;"conflict",K102&lt;&gt;"unknown",M102&lt;&gt;"unknown",IF(OR(K102="yes",K102="no"),AND(M102="yes",OR(L102="text",L102="emoji",L102="voice")),L102="none")),TRUE),IF(F102="late",AND(H102="no",I102="not_sent",K102="none",L102="none",O102=0),TRUE)),"OK","CHECK"),"CHECK"))</x:f>
      </x:c>
      <x:c r="R102" s="3"/>
    </x:row>
    <x:row r="103" ht="22" customHeight="1">
      <x:c r="A103" s="8"/>
      <x:c r="B103" s="8"/>
      <x:c r="C103" s="8"/>
      <x:c r="D103" s="8"/>
      <x:c r="E103" s="7"/>
      <x:c r="F103" s="7"/>
      <x:c r="G103" s="7"/>
      <x:c r="H103" s="7"/>
      <x:c r="I103" s="7"/>
      <x:c r="J103" s="8"/>
      <x:c r="K103" s="7"/>
      <x:c r="L103" s="7"/>
      <x:c r="M103" s="7"/>
      <x:c r="N103" s="7"/>
      <x:c r="O103" s="7"/>
      <x:c r="P103" s="7"/>
      <x:c r="Q103" s="3" t="str">
        <x:f>IF(COUNTA(A103:P103)=0,"",IFERROR(IF(AND(A103&lt;&gt;"",COUNTIF($A$2:$A$201,A103)=1,OR(LEFT(B103,2)="V-",LEFT(B103,4)="SYN-"),LEN(MID(B103,IF(LEFT(B103,2)="V-",3,5),30))&gt;0,ISNUMBER(VALUE(MID(B103,IF(LEFT(B103,2)="V-",3,5),30))),VALUE(MID(B103,IF(LEFT(B103,2)="V-",3,5),30))&gt;=0,MOD(VALUE(MID(B103,IF(LEFT(B103,2)="V-",3,5),30)),1)=0,COUNTIFS(Slots!$A$2:$A$31,"E2",Slots!$B$2:$B$31,C103)=1,ISNUMBER(SEARCH("|"&amp;D103&amp;"|","|"&amp;Settings!$B$9&amp;"|")),OR(E103="regular",E103="first"),OR(F103="include",F103="duplicate",F103="late"),OR(H103="yes",H103="no"),OR(I103="success",I103="failed",I103="unknown",I103="not_sent"),OR(K103="yes",K103="no",K103="none",K103="conflict",K103="unknown"),OR(L103="text",L103="emoji",L103="voice",L103="none",L103="unknown"),OR(M103="yes",M103="no",M103="unknown"),OR(N103="yes",N103="no",N103="unknown"),ISNUMBER(O103),OR(O103=0,O103=1),OR(P103="",P103="soft_yes",P103="forgot",P103="time_place",P103="clash",P103="travel",P103="personal",P103="unknown",P103="silent_but_came"),OR(I103&lt;&gt;"success",AND(J103&lt;&gt;"",COUNTIFS($J$2:$J$201,J103,$I$2:$I$201,"success")=1)),OR(I103&lt;&gt;"not_sent",J103=""),IF(F103="duplicate",AND(COUNTIFS($A$2:$A$201,G103,$B$2:$B$201,B103,$C$2:$C$201,C103,$F$2:$F$201,"include")=1,H103="no",I103="not_sent",K103="none",M103="no",N103="no",O103=0),AND(G103="",N103&lt;&gt;"unknown",COUNTIFS($B$2:$B$201,B103,$F$2:$F$201,"&lt;&gt;duplicate")=1)),IF(F103="include",AND(H103="yes",K103&lt;&gt;"conflict",K103&lt;&gt;"unknown",M103&lt;&gt;"unknown",IF(OR(K103="yes",K103="no"),AND(M103="yes",OR(L103="text",L103="emoji",L103="voice")),L103="none")),TRUE),IF(F103="late",AND(H103="no",I103="not_sent",K103="none",L103="none",O103=0),TRUE)),"OK","CHECK"),"CHECK"))</x:f>
      </x:c>
      <x:c r="R103" s="3"/>
    </x:row>
    <x:row r="104" ht="22" customHeight="1">
      <x:c r="A104" s="8"/>
      <x:c r="B104" s="8"/>
      <x:c r="C104" s="8"/>
      <x:c r="D104" s="8"/>
      <x:c r="E104" s="7"/>
      <x:c r="F104" s="7"/>
      <x:c r="G104" s="7"/>
      <x:c r="H104" s="7"/>
      <x:c r="I104" s="7"/>
      <x:c r="J104" s="8"/>
      <x:c r="K104" s="7"/>
      <x:c r="L104" s="7"/>
      <x:c r="M104" s="7"/>
      <x:c r="N104" s="7"/>
      <x:c r="O104" s="7"/>
      <x:c r="P104" s="7"/>
      <x:c r="Q104" s="3" t="str">
        <x:f>IF(COUNTA(A104:P104)=0,"",IFERROR(IF(AND(A104&lt;&gt;"",COUNTIF($A$2:$A$201,A104)=1,OR(LEFT(B104,2)="V-",LEFT(B104,4)="SYN-"),LEN(MID(B104,IF(LEFT(B104,2)="V-",3,5),30))&gt;0,ISNUMBER(VALUE(MID(B104,IF(LEFT(B104,2)="V-",3,5),30))),VALUE(MID(B104,IF(LEFT(B104,2)="V-",3,5),30))&gt;=0,MOD(VALUE(MID(B104,IF(LEFT(B104,2)="V-",3,5),30)),1)=0,COUNTIFS(Slots!$A$2:$A$31,"E2",Slots!$B$2:$B$31,C104)=1,ISNUMBER(SEARCH("|"&amp;D104&amp;"|","|"&amp;Settings!$B$9&amp;"|")),OR(E104="regular",E104="first"),OR(F104="include",F104="duplicate",F104="late"),OR(H104="yes",H104="no"),OR(I104="success",I104="failed",I104="unknown",I104="not_sent"),OR(K104="yes",K104="no",K104="none",K104="conflict",K104="unknown"),OR(L104="text",L104="emoji",L104="voice",L104="none",L104="unknown"),OR(M104="yes",M104="no",M104="unknown"),OR(N104="yes",N104="no",N104="unknown"),ISNUMBER(O104),OR(O104=0,O104=1),OR(P104="",P104="soft_yes",P104="forgot",P104="time_place",P104="clash",P104="travel",P104="personal",P104="unknown",P104="silent_but_came"),OR(I104&lt;&gt;"success",AND(J104&lt;&gt;"",COUNTIFS($J$2:$J$201,J104,$I$2:$I$201,"success")=1)),OR(I104&lt;&gt;"not_sent",J104=""),IF(F104="duplicate",AND(COUNTIFS($A$2:$A$201,G104,$B$2:$B$201,B104,$C$2:$C$201,C104,$F$2:$F$201,"include")=1,H104="no",I104="not_sent",K104="none",M104="no",N104="no",O104=0),AND(G104="",N104&lt;&gt;"unknown",COUNTIFS($B$2:$B$201,B104,$F$2:$F$201,"&lt;&gt;duplicate")=1)),IF(F104="include",AND(H104="yes",K104&lt;&gt;"conflict",K104&lt;&gt;"unknown",M104&lt;&gt;"unknown",IF(OR(K104="yes",K104="no"),AND(M104="yes",OR(L104="text",L104="emoji",L104="voice")),L104="none")),TRUE),IF(F104="late",AND(H104="no",I104="not_sent",K104="none",L104="none",O104=0),TRUE)),"OK","CHECK"),"CHECK"))</x:f>
      </x:c>
      <x:c r="R104" s="3"/>
    </x:row>
    <x:row r="105" ht="22" customHeight="1">
      <x:c r="A105" s="8"/>
      <x:c r="B105" s="8"/>
      <x:c r="C105" s="8"/>
      <x:c r="D105" s="8"/>
      <x:c r="E105" s="7"/>
      <x:c r="F105" s="7"/>
      <x:c r="G105" s="7"/>
      <x:c r="H105" s="7"/>
      <x:c r="I105" s="7"/>
      <x:c r="J105" s="8"/>
      <x:c r="K105" s="7"/>
      <x:c r="L105" s="7"/>
      <x:c r="M105" s="7"/>
      <x:c r="N105" s="7"/>
      <x:c r="O105" s="7"/>
      <x:c r="P105" s="7"/>
      <x:c r="Q105" s="3" t="str">
        <x:f>IF(COUNTA(A105:P105)=0,"",IFERROR(IF(AND(A105&lt;&gt;"",COUNTIF($A$2:$A$201,A105)=1,OR(LEFT(B105,2)="V-",LEFT(B105,4)="SYN-"),LEN(MID(B105,IF(LEFT(B105,2)="V-",3,5),30))&gt;0,ISNUMBER(VALUE(MID(B105,IF(LEFT(B105,2)="V-",3,5),30))),VALUE(MID(B105,IF(LEFT(B105,2)="V-",3,5),30))&gt;=0,MOD(VALUE(MID(B105,IF(LEFT(B105,2)="V-",3,5),30)),1)=0,COUNTIFS(Slots!$A$2:$A$31,"E2",Slots!$B$2:$B$31,C105)=1,ISNUMBER(SEARCH("|"&amp;D105&amp;"|","|"&amp;Settings!$B$9&amp;"|")),OR(E105="regular",E105="first"),OR(F105="include",F105="duplicate",F105="late"),OR(H105="yes",H105="no"),OR(I105="success",I105="failed",I105="unknown",I105="not_sent"),OR(K105="yes",K105="no",K105="none",K105="conflict",K105="unknown"),OR(L105="text",L105="emoji",L105="voice",L105="none",L105="unknown"),OR(M105="yes",M105="no",M105="unknown"),OR(N105="yes",N105="no",N105="unknown"),ISNUMBER(O105),OR(O105=0,O105=1),OR(P105="",P105="soft_yes",P105="forgot",P105="time_place",P105="clash",P105="travel",P105="personal",P105="unknown",P105="silent_but_came"),OR(I105&lt;&gt;"success",AND(J105&lt;&gt;"",COUNTIFS($J$2:$J$201,J105,$I$2:$I$201,"success")=1)),OR(I105&lt;&gt;"not_sent",J105=""),IF(F105="duplicate",AND(COUNTIFS($A$2:$A$201,G105,$B$2:$B$201,B105,$C$2:$C$201,C105,$F$2:$F$201,"include")=1,H105="no",I105="not_sent",K105="none",M105="no",N105="no",O105=0),AND(G105="",N105&lt;&gt;"unknown",COUNTIFS($B$2:$B$201,B105,$F$2:$F$201,"&lt;&gt;duplicate")=1)),IF(F105="include",AND(H105="yes",K105&lt;&gt;"conflict",K105&lt;&gt;"unknown",M105&lt;&gt;"unknown",IF(OR(K105="yes",K105="no"),AND(M105="yes",OR(L105="text",L105="emoji",L105="voice")),L105="none")),TRUE),IF(F105="late",AND(H105="no",I105="not_sent",K105="none",L105="none",O105=0),TRUE)),"OK","CHECK"),"CHECK"))</x:f>
      </x:c>
      <x:c r="R105" s="3"/>
    </x:row>
    <x:row r="106" ht="22" customHeight="1">
      <x:c r="A106" s="8"/>
      <x:c r="B106" s="8"/>
      <x:c r="C106" s="8"/>
      <x:c r="D106" s="8"/>
      <x:c r="E106" s="7"/>
      <x:c r="F106" s="7"/>
      <x:c r="G106" s="7"/>
      <x:c r="H106" s="7"/>
      <x:c r="I106" s="7"/>
      <x:c r="J106" s="8"/>
      <x:c r="K106" s="7"/>
      <x:c r="L106" s="7"/>
      <x:c r="M106" s="7"/>
      <x:c r="N106" s="7"/>
      <x:c r="O106" s="7"/>
      <x:c r="P106" s="7"/>
      <x:c r="Q106" s="3" t="str">
        <x:f>IF(COUNTA(A106:P106)=0,"",IFERROR(IF(AND(A106&lt;&gt;"",COUNTIF($A$2:$A$201,A106)=1,OR(LEFT(B106,2)="V-",LEFT(B106,4)="SYN-"),LEN(MID(B106,IF(LEFT(B106,2)="V-",3,5),30))&gt;0,ISNUMBER(VALUE(MID(B106,IF(LEFT(B106,2)="V-",3,5),30))),VALUE(MID(B106,IF(LEFT(B106,2)="V-",3,5),30))&gt;=0,MOD(VALUE(MID(B106,IF(LEFT(B106,2)="V-",3,5),30)),1)=0,COUNTIFS(Slots!$A$2:$A$31,"E2",Slots!$B$2:$B$31,C106)=1,ISNUMBER(SEARCH("|"&amp;D106&amp;"|","|"&amp;Settings!$B$9&amp;"|")),OR(E106="regular",E106="first"),OR(F106="include",F106="duplicate",F106="late"),OR(H106="yes",H106="no"),OR(I106="success",I106="failed",I106="unknown",I106="not_sent"),OR(K106="yes",K106="no",K106="none",K106="conflict",K106="unknown"),OR(L106="text",L106="emoji",L106="voice",L106="none",L106="unknown"),OR(M106="yes",M106="no",M106="unknown"),OR(N106="yes",N106="no",N106="unknown"),ISNUMBER(O106),OR(O106=0,O106=1),OR(P106="",P106="soft_yes",P106="forgot",P106="time_place",P106="clash",P106="travel",P106="personal",P106="unknown",P106="silent_but_came"),OR(I106&lt;&gt;"success",AND(J106&lt;&gt;"",COUNTIFS($J$2:$J$201,J106,$I$2:$I$201,"success")=1)),OR(I106&lt;&gt;"not_sent",J106=""),IF(F106="duplicate",AND(COUNTIFS($A$2:$A$201,G106,$B$2:$B$201,B106,$C$2:$C$201,C106,$F$2:$F$201,"include")=1,H106="no",I106="not_sent",K106="none",M106="no",N106="no",O106=0),AND(G106="",N106&lt;&gt;"unknown",COUNTIFS($B$2:$B$201,B106,$F$2:$F$201,"&lt;&gt;duplicate")=1)),IF(F106="include",AND(H106="yes",K106&lt;&gt;"conflict",K106&lt;&gt;"unknown",M106&lt;&gt;"unknown",IF(OR(K106="yes",K106="no"),AND(M106="yes",OR(L106="text",L106="emoji",L106="voice")),L106="none")),TRUE),IF(F106="late",AND(H106="no",I106="not_sent",K106="none",L106="none",O106=0),TRUE)),"OK","CHECK"),"CHECK"))</x:f>
      </x:c>
      <x:c r="R106" s="3"/>
    </x:row>
    <x:row r="107" ht="22" customHeight="1">
      <x:c r="A107" s="8"/>
      <x:c r="B107" s="8"/>
      <x:c r="C107" s="8"/>
      <x:c r="D107" s="8"/>
      <x:c r="E107" s="7"/>
      <x:c r="F107" s="7"/>
      <x:c r="G107" s="7"/>
      <x:c r="H107" s="7"/>
      <x:c r="I107" s="7"/>
      <x:c r="J107" s="8"/>
      <x:c r="K107" s="7"/>
      <x:c r="L107" s="7"/>
      <x:c r="M107" s="7"/>
      <x:c r="N107" s="7"/>
      <x:c r="O107" s="7"/>
      <x:c r="P107" s="7"/>
      <x:c r="Q107" s="3" t="str">
        <x:f>IF(COUNTA(A107:P107)=0,"",IFERROR(IF(AND(A107&lt;&gt;"",COUNTIF($A$2:$A$201,A107)=1,OR(LEFT(B107,2)="V-",LEFT(B107,4)="SYN-"),LEN(MID(B107,IF(LEFT(B107,2)="V-",3,5),30))&gt;0,ISNUMBER(VALUE(MID(B107,IF(LEFT(B107,2)="V-",3,5),30))),VALUE(MID(B107,IF(LEFT(B107,2)="V-",3,5),30))&gt;=0,MOD(VALUE(MID(B107,IF(LEFT(B107,2)="V-",3,5),30)),1)=0,COUNTIFS(Slots!$A$2:$A$31,"E2",Slots!$B$2:$B$31,C107)=1,ISNUMBER(SEARCH("|"&amp;D107&amp;"|","|"&amp;Settings!$B$9&amp;"|")),OR(E107="regular",E107="first"),OR(F107="include",F107="duplicate",F107="late"),OR(H107="yes",H107="no"),OR(I107="success",I107="failed",I107="unknown",I107="not_sent"),OR(K107="yes",K107="no",K107="none",K107="conflict",K107="unknown"),OR(L107="text",L107="emoji",L107="voice",L107="none",L107="unknown"),OR(M107="yes",M107="no",M107="unknown"),OR(N107="yes",N107="no",N107="unknown"),ISNUMBER(O107),OR(O107=0,O107=1),OR(P107="",P107="soft_yes",P107="forgot",P107="time_place",P107="clash",P107="travel",P107="personal",P107="unknown",P107="silent_but_came"),OR(I107&lt;&gt;"success",AND(J107&lt;&gt;"",COUNTIFS($J$2:$J$201,J107,$I$2:$I$201,"success")=1)),OR(I107&lt;&gt;"not_sent",J107=""),IF(F107="duplicate",AND(COUNTIFS($A$2:$A$201,G107,$B$2:$B$201,B107,$C$2:$C$201,C107,$F$2:$F$201,"include")=1,H107="no",I107="not_sent",K107="none",M107="no",N107="no",O107=0),AND(G107="",N107&lt;&gt;"unknown",COUNTIFS($B$2:$B$201,B107,$F$2:$F$201,"&lt;&gt;duplicate")=1)),IF(F107="include",AND(H107="yes",K107&lt;&gt;"conflict",K107&lt;&gt;"unknown",M107&lt;&gt;"unknown",IF(OR(K107="yes",K107="no"),AND(M107="yes",OR(L107="text",L107="emoji",L107="voice")),L107="none")),TRUE),IF(F107="late",AND(H107="no",I107="not_sent",K107="none",L107="none",O107=0),TRUE)),"OK","CHECK"),"CHECK"))</x:f>
      </x:c>
      <x:c r="R107" s="3"/>
    </x:row>
    <x:row r="108" ht="22" customHeight="1">
      <x:c r="A108" s="8"/>
      <x:c r="B108" s="8"/>
      <x:c r="C108" s="8"/>
      <x:c r="D108" s="8"/>
      <x:c r="E108" s="7"/>
      <x:c r="F108" s="7"/>
      <x:c r="G108" s="7"/>
      <x:c r="H108" s="7"/>
      <x:c r="I108" s="7"/>
      <x:c r="J108" s="8"/>
      <x:c r="K108" s="7"/>
      <x:c r="L108" s="7"/>
      <x:c r="M108" s="7"/>
      <x:c r="N108" s="7"/>
      <x:c r="O108" s="7"/>
      <x:c r="P108" s="7"/>
      <x:c r="Q108" s="3" t="str">
        <x:f>IF(COUNTA(A108:P108)=0,"",IFERROR(IF(AND(A108&lt;&gt;"",COUNTIF($A$2:$A$201,A108)=1,OR(LEFT(B108,2)="V-",LEFT(B108,4)="SYN-"),LEN(MID(B108,IF(LEFT(B108,2)="V-",3,5),30))&gt;0,ISNUMBER(VALUE(MID(B108,IF(LEFT(B108,2)="V-",3,5),30))),VALUE(MID(B108,IF(LEFT(B108,2)="V-",3,5),30))&gt;=0,MOD(VALUE(MID(B108,IF(LEFT(B108,2)="V-",3,5),30)),1)=0,COUNTIFS(Slots!$A$2:$A$31,"E2",Slots!$B$2:$B$31,C108)=1,ISNUMBER(SEARCH("|"&amp;D108&amp;"|","|"&amp;Settings!$B$9&amp;"|")),OR(E108="regular",E108="first"),OR(F108="include",F108="duplicate",F108="late"),OR(H108="yes",H108="no"),OR(I108="success",I108="failed",I108="unknown",I108="not_sent"),OR(K108="yes",K108="no",K108="none",K108="conflict",K108="unknown"),OR(L108="text",L108="emoji",L108="voice",L108="none",L108="unknown"),OR(M108="yes",M108="no",M108="unknown"),OR(N108="yes",N108="no",N108="unknown"),ISNUMBER(O108),OR(O108=0,O108=1),OR(P108="",P108="soft_yes",P108="forgot",P108="time_place",P108="clash",P108="travel",P108="personal",P108="unknown",P108="silent_but_came"),OR(I108&lt;&gt;"success",AND(J108&lt;&gt;"",COUNTIFS($J$2:$J$201,J108,$I$2:$I$201,"success")=1)),OR(I108&lt;&gt;"not_sent",J108=""),IF(F108="duplicate",AND(COUNTIFS($A$2:$A$201,G108,$B$2:$B$201,B108,$C$2:$C$201,C108,$F$2:$F$201,"include")=1,H108="no",I108="not_sent",K108="none",M108="no",N108="no",O108=0),AND(G108="",N108&lt;&gt;"unknown",COUNTIFS($B$2:$B$201,B108,$F$2:$F$201,"&lt;&gt;duplicate")=1)),IF(F108="include",AND(H108="yes",K108&lt;&gt;"conflict",K108&lt;&gt;"unknown",M108&lt;&gt;"unknown",IF(OR(K108="yes",K108="no"),AND(M108="yes",OR(L108="text",L108="emoji",L108="voice")),L108="none")),TRUE),IF(F108="late",AND(H108="no",I108="not_sent",K108="none",L108="none",O108=0),TRUE)),"OK","CHECK"),"CHECK"))</x:f>
      </x:c>
      <x:c r="R108" s="3"/>
    </x:row>
    <x:row r="109" ht="22" customHeight="1">
      <x:c r="A109" s="8"/>
      <x:c r="B109" s="8"/>
      <x:c r="C109" s="8"/>
      <x:c r="D109" s="8"/>
      <x:c r="E109" s="7"/>
      <x:c r="F109" s="7"/>
      <x:c r="G109" s="7"/>
      <x:c r="H109" s="7"/>
      <x:c r="I109" s="7"/>
      <x:c r="J109" s="8"/>
      <x:c r="K109" s="7"/>
      <x:c r="L109" s="7"/>
      <x:c r="M109" s="7"/>
      <x:c r="N109" s="7"/>
      <x:c r="O109" s="7"/>
      <x:c r="P109" s="7"/>
      <x:c r="Q109" s="3" t="str">
        <x:f>IF(COUNTA(A109:P109)=0,"",IFERROR(IF(AND(A109&lt;&gt;"",COUNTIF($A$2:$A$201,A109)=1,OR(LEFT(B109,2)="V-",LEFT(B109,4)="SYN-"),LEN(MID(B109,IF(LEFT(B109,2)="V-",3,5),30))&gt;0,ISNUMBER(VALUE(MID(B109,IF(LEFT(B109,2)="V-",3,5),30))),VALUE(MID(B109,IF(LEFT(B109,2)="V-",3,5),30))&gt;=0,MOD(VALUE(MID(B109,IF(LEFT(B109,2)="V-",3,5),30)),1)=0,COUNTIFS(Slots!$A$2:$A$31,"E2",Slots!$B$2:$B$31,C109)=1,ISNUMBER(SEARCH("|"&amp;D109&amp;"|","|"&amp;Settings!$B$9&amp;"|")),OR(E109="regular",E109="first"),OR(F109="include",F109="duplicate",F109="late"),OR(H109="yes",H109="no"),OR(I109="success",I109="failed",I109="unknown",I109="not_sent"),OR(K109="yes",K109="no",K109="none",K109="conflict",K109="unknown"),OR(L109="text",L109="emoji",L109="voice",L109="none",L109="unknown"),OR(M109="yes",M109="no",M109="unknown"),OR(N109="yes",N109="no",N109="unknown"),ISNUMBER(O109),OR(O109=0,O109=1),OR(P109="",P109="soft_yes",P109="forgot",P109="time_place",P109="clash",P109="travel",P109="personal",P109="unknown",P109="silent_but_came"),OR(I109&lt;&gt;"success",AND(J109&lt;&gt;"",COUNTIFS($J$2:$J$201,J109,$I$2:$I$201,"success")=1)),OR(I109&lt;&gt;"not_sent",J109=""),IF(F109="duplicate",AND(COUNTIFS($A$2:$A$201,G109,$B$2:$B$201,B109,$C$2:$C$201,C109,$F$2:$F$201,"include")=1,H109="no",I109="not_sent",K109="none",M109="no",N109="no",O109=0),AND(G109="",N109&lt;&gt;"unknown",COUNTIFS($B$2:$B$201,B109,$F$2:$F$201,"&lt;&gt;duplicate")=1)),IF(F109="include",AND(H109="yes",K109&lt;&gt;"conflict",K109&lt;&gt;"unknown",M109&lt;&gt;"unknown",IF(OR(K109="yes",K109="no"),AND(M109="yes",OR(L109="text",L109="emoji",L109="voice")),L109="none")),TRUE),IF(F109="late",AND(H109="no",I109="not_sent",K109="none",L109="none",O109=0),TRUE)),"OK","CHECK"),"CHECK"))</x:f>
      </x:c>
      <x:c r="R109" s="3"/>
    </x:row>
    <x:row r="110" ht="22" customHeight="1">
      <x:c r="A110" s="8"/>
      <x:c r="B110" s="8"/>
      <x:c r="C110" s="8"/>
      <x:c r="D110" s="8"/>
      <x:c r="E110" s="7"/>
      <x:c r="F110" s="7"/>
      <x:c r="G110" s="7"/>
      <x:c r="H110" s="7"/>
      <x:c r="I110" s="7"/>
      <x:c r="J110" s="8"/>
      <x:c r="K110" s="7"/>
      <x:c r="L110" s="7"/>
      <x:c r="M110" s="7"/>
      <x:c r="N110" s="7"/>
      <x:c r="O110" s="7"/>
      <x:c r="P110" s="7"/>
      <x:c r="Q110" s="3" t="str">
        <x:f>IF(COUNTA(A110:P110)=0,"",IFERROR(IF(AND(A110&lt;&gt;"",COUNTIF($A$2:$A$201,A110)=1,OR(LEFT(B110,2)="V-",LEFT(B110,4)="SYN-"),LEN(MID(B110,IF(LEFT(B110,2)="V-",3,5),30))&gt;0,ISNUMBER(VALUE(MID(B110,IF(LEFT(B110,2)="V-",3,5),30))),VALUE(MID(B110,IF(LEFT(B110,2)="V-",3,5),30))&gt;=0,MOD(VALUE(MID(B110,IF(LEFT(B110,2)="V-",3,5),30)),1)=0,COUNTIFS(Slots!$A$2:$A$31,"E2",Slots!$B$2:$B$31,C110)=1,ISNUMBER(SEARCH("|"&amp;D110&amp;"|","|"&amp;Settings!$B$9&amp;"|")),OR(E110="regular",E110="first"),OR(F110="include",F110="duplicate",F110="late"),OR(H110="yes",H110="no"),OR(I110="success",I110="failed",I110="unknown",I110="not_sent"),OR(K110="yes",K110="no",K110="none",K110="conflict",K110="unknown"),OR(L110="text",L110="emoji",L110="voice",L110="none",L110="unknown"),OR(M110="yes",M110="no",M110="unknown"),OR(N110="yes",N110="no",N110="unknown"),ISNUMBER(O110),OR(O110=0,O110=1),OR(P110="",P110="soft_yes",P110="forgot",P110="time_place",P110="clash",P110="travel",P110="personal",P110="unknown",P110="silent_but_came"),OR(I110&lt;&gt;"success",AND(J110&lt;&gt;"",COUNTIFS($J$2:$J$201,J110,$I$2:$I$201,"success")=1)),OR(I110&lt;&gt;"not_sent",J110=""),IF(F110="duplicate",AND(COUNTIFS($A$2:$A$201,G110,$B$2:$B$201,B110,$C$2:$C$201,C110,$F$2:$F$201,"include")=1,H110="no",I110="not_sent",K110="none",M110="no",N110="no",O110=0),AND(G110="",N110&lt;&gt;"unknown",COUNTIFS($B$2:$B$201,B110,$F$2:$F$201,"&lt;&gt;duplicate")=1)),IF(F110="include",AND(H110="yes",K110&lt;&gt;"conflict",K110&lt;&gt;"unknown",M110&lt;&gt;"unknown",IF(OR(K110="yes",K110="no"),AND(M110="yes",OR(L110="text",L110="emoji",L110="voice")),L110="none")),TRUE),IF(F110="late",AND(H110="no",I110="not_sent",K110="none",L110="none",O110=0),TRUE)),"OK","CHECK"),"CHECK"))</x:f>
      </x:c>
      <x:c r="R110" s="3"/>
    </x:row>
    <x:row r="111" ht="22" customHeight="1">
      <x:c r="A111" s="8"/>
      <x:c r="B111" s="8"/>
      <x:c r="C111" s="8"/>
      <x:c r="D111" s="8"/>
      <x:c r="E111" s="7"/>
      <x:c r="F111" s="7"/>
      <x:c r="G111" s="7"/>
      <x:c r="H111" s="7"/>
      <x:c r="I111" s="7"/>
      <x:c r="J111" s="8"/>
      <x:c r="K111" s="7"/>
      <x:c r="L111" s="7"/>
      <x:c r="M111" s="7"/>
      <x:c r="N111" s="7"/>
      <x:c r="O111" s="7"/>
      <x:c r="P111" s="7"/>
      <x:c r="Q111" s="3" t="str">
        <x:f>IF(COUNTA(A111:P111)=0,"",IFERROR(IF(AND(A111&lt;&gt;"",COUNTIF($A$2:$A$201,A111)=1,OR(LEFT(B111,2)="V-",LEFT(B111,4)="SYN-"),LEN(MID(B111,IF(LEFT(B111,2)="V-",3,5),30))&gt;0,ISNUMBER(VALUE(MID(B111,IF(LEFT(B111,2)="V-",3,5),30))),VALUE(MID(B111,IF(LEFT(B111,2)="V-",3,5),30))&gt;=0,MOD(VALUE(MID(B111,IF(LEFT(B111,2)="V-",3,5),30)),1)=0,COUNTIFS(Slots!$A$2:$A$31,"E2",Slots!$B$2:$B$31,C111)=1,ISNUMBER(SEARCH("|"&amp;D111&amp;"|","|"&amp;Settings!$B$9&amp;"|")),OR(E111="regular",E111="first"),OR(F111="include",F111="duplicate",F111="late"),OR(H111="yes",H111="no"),OR(I111="success",I111="failed",I111="unknown",I111="not_sent"),OR(K111="yes",K111="no",K111="none",K111="conflict",K111="unknown"),OR(L111="text",L111="emoji",L111="voice",L111="none",L111="unknown"),OR(M111="yes",M111="no",M111="unknown"),OR(N111="yes",N111="no",N111="unknown"),ISNUMBER(O111),OR(O111=0,O111=1),OR(P111="",P111="soft_yes",P111="forgot",P111="time_place",P111="clash",P111="travel",P111="personal",P111="unknown",P111="silent_but_came"),OR(I111&lt;&gt;"success",AND(J111&lt;&gt;"",COUNTIFS($J$2:$J$201,J111,$I$2:$I$201,"success")=1)),OR(I111&lt;&gt;"not_sent",J111=""),IF(F111="duplicate",AND(COUNTIFS($A$2:$A$201,G111,$B$2:$B$201,B111,$C$2:$C$201,C111,$F$2:$F$201,"include")=1,H111="no",I111="not_sent",K111="none",M111="no",N111="no",O111=0),AND(G111="",N111&lt;&gt;"unknown",COUNTIFS($B$2:$B$201,B111,$F$2:$F$201,"&lt;&gt;duplicate")=1)),IF(F111="include",AND(H111="yes",K111&lt;&gt;"conflict",K111&lt;&gt;"unknown",M111&lt;&gt;"unknown",IF(OR(K111="yes",K111="no"),AND(M111="yes",OR(L111="text",L111="emoji",L111="voice")),L111="none")),TRUE),IF(F111="late",AND(H111="no",I111="not_sent",K111="none",L111="none",O111=0),TRUE)),"OK","CHECK"),"CHECK"))</x:f>
      </x:c>
      <x:c r="R111" s="3"/>
    </x:row>
    <x:row r="112" ht="22" customHeight="1">
      <x:c r="A112" s="8"/>
      <x:c r="B112" s="8"/>
      <x:c r="C112" s="8"/>
      <x:c r="D112" s="8"/>
      <x:c r="E112" s="7"/>
      <x:c r="F112" s="7"/>
      <x:c r="G112" s="7"/>
      <x:c r="H112" s="7"/>
      <x:c r="I112" s="7"/>
      <x:c r="J112" s="8"/>
      <x:c r="K112" s="7"/>
      <x:c r="L112" s="7"/>
      <x:c r="M112" s="7"/>
      <x:c r="N112" s="7"/>
      <x:c r="O112" s="7"/>
      <x:c r="P112" s="7"/>
      <x:c r="Q112" s="3" t="str">
        <x:f>IF(COUNTA(A112:P112)=0,"",IFERROR(IF(AND(A112&lt;&gt;"",COUNTIF($A$2:$A$201,A112)=1,OR(LEFT(B112,2)="V-",LEFT(B112,4)="SYN-"),LEN(MID(B112,IF(LEFT(B112,2)="V-",3,5),30))&gt;0,ISNUMBER(VALUE(MID(B112,IF(LEFT(B112,2)="V-",3,5),30))),VALUE(MID(B112,IF(LEFT(B112,2)="V-",3,5),30))&gt;=0,MOD(VALUE(MID(B112,IF(LEFT(B112,2)="V-",3,5),30)),1)=0,COUNTIFS(Slots!$A$2:$A$31,"E2",Slots!$B$2:$B$31,C112)=1,ISNUMBER(SEARCH("|"&amp;D112&amp;"|","|"&amp;Settings!$B$9&amp;"|")),OR(E112="regular",E112="first"),OR(F112="include",F112="duplicate",F112="late"),OR(H112="yes",H112="no"),OR(I112="success",I112="failed",I112="unknown",I112="not_sent"),OR(K112="yes",K112="no",K112="none",K112="conflict",K112="unknown"),OR(L112="text",L112="emoji",L112="voice",L112="none",L112="unknown"),OR(M112="yes",M112="no",M112="unknown"),OR(N112="yes",N112="no",N112="unknown"),ISNUMBER(O112),OR(O112=0,O112=1),OR(P112="",P112="soft_yes",P112="forgot",P112="time_place",P112="clash",P112="travel",P112="personal",P112="unknown",P112="silent_but_came"),OR(I112&lt;&gt;"success",AND(J112&lt;&gt;"",COUNTIFS($J$2:$J$201,J112,$I$2:$I$201,"success")=1)),OR(I112&lt;&gt;"not_sent",J112=""),IF(F112="duplicate",AND(COUNTIFS($A$2:$A$201,G112,$B$2:$B$201,B112,$C$2:$C$201,C112,$F$2:$F$201,"include")=1,H112="no",I112="not_sent",K112="none",M112="no",N112="no",O112=0),AND(G112="",N112&lt;&gt;"unknown",COUNTIFS($B$2:$B$201,B112,$F$2:$F$201,"&lt;&gt;duplicate")=1)),IF(F112="include",AND(H112="yes",K112&lt;&gt;"conflict",K112&lt;&gt;"unknown",M112&lt;&gt;"unknown",IF(OR(K112="yes",K112="no"),AND(M112="yes",OR(L112="text",L112="emoji",L112="voice")),L112="none")),TRUE),IF(F112="late",AND(H112="no",I112="not_sent",K112="none",L112="none",O112=0),TRUE)),"OK","CHECK"),"CHECK"))</x:f>
      </x:c>
      <x:c r="R112" s="3"/>
    </x:row>
    <x:row r="113" ht="22" customHeight="1">
      <x:c r="A113" s="8"/>
      <x:c r="B113" s="8"/>
      <x:c r="C113" s="8"/>
      <x:c r="D113" s="8"/>
      <x:c r="E113" s="7"/>
      <x:c r="F113" s="7"/>
      <x:c r="G113" s="7"/>
      <x:c r="H113" s="7"/>
      <x:c r="I113" s="7"/>
      <x:c r="J113" s="8"/>
      <x:c r="K113" s="7"/>
      <x:c r="L113" s="7"/>
      <x:c r="M113" s="7"/>
      <x:c r="N113" s="7"/>
      <x:c r="O113" s="7"/>
      <x:c r="P113" s="7"/>
      <x:c r="Q113" s="3" t="str">
        <x:f>IF(COUNTA(A113:P113)=0,"",IFERROR(IF(AND(A113&lt;&gt;"",COUNTIF($A$2:$A$201,A113)=1,OR(LEFT(B113,2)="V-",LEFT(B113,4)="SYN-"),LEN(MID(B113,IF(LEFT(B113,2)="V-",3,5),30))&gt;0,ISNUMBER(VALUE(MID(B113,IF(LEFT(B113,2)="V-",3,5),30))),VALUE(MID(B113,IF(LEFT(B113,2)="V-",3,5),30))&gt;=0,MOD(VALUE(MID(B113,IF(LEFT(B113,2)="V-",3,5),30)),1)=0,COUNTIFS(Slots!$A$2:$A$31,"E2",Slots!$B$2:$B$31,C113)=1,ISNUMBER(SEARCH("|"&amp;D113&amp;"|","|"&amp;Settings!$B$9&amp;"|")),OR(E113="regular",E113="first"),OR(F113="include",F113="duplicate",F113="late"),OR(H113="yes",H113="no"),OR(I113="success",I113="failed",I113="unknown",I113="not_sent"),OR(K113="yes",K113="no",K113="none",K113="conflict",K113="unknown"),OR(L113="text",L113="emoji",L113="voice",L113="none",L113="unknown"),OR(M113="yes",M113="no",M113="unknown"),OR(N113="yes",N113="no",N113="unknown"),ISNUMBER(O113),OR(O113=0,O113=1),OR(P113="",P113="soft_yes",P113="forgot",P113="time_place",P113="clash",P113="travel",P113="personal",P113="unknown",P113="silent_but_came"),OR(I113&lt;&gt;"success",AND(J113&lt;&gt;"",COUNTIFS($J$2:$J$201,J113,$I$2:$I$201,"success")=1)),OR(I113&lt;&gt;"not_sent",J113=""),IF(F113="duplicate",AND(COUNTIFS($A$2:$A$201,G113,$B$2:$B$201,B113,$C$2:$C$201,C113,$F$2:$F$201,"include")=1,H113="no",I113="not_sent",K113="none",M113="no",N113="no",O113=0),AND(G113="",N113&lt;&gt;"unknown",COUNTIFS($B$2:$B$201,B113,$F$2:$F$201,"&lt;&gt;duplicate")=1)),IF(F113="include",AND(H113="yes",K113&lt;&gt;"conflict",K113&lt;&gt;"unknown",M113&lt;&gt;"unknown",IF(OR(K113="yes",K113="no"),AND(M113="yes",OR(L113="text",L113="emoji",L113="voice")),L113="none")),TRUE),IF(F113="late",AND(H113="no",I113="not_sent",K113="none",L113="none",O113=0),TRUE)),"OK","CHECK"),"CHECK"))</x:f>
      </x:c>
      <x:c r="R113" s="3"/>
    </x:row>
    <x:row r="114" ht="22" customHeight="1">
      <x:c r="A114" s="8"/>
      <x:c r="B114" s="8"/>
      <x:c r="C114" s="8"/>
      <x:c r="D114" s="8"/>
      <x:c r="E114" s="7"/>
      <x:c r="F114" s="7"/>
      <x:c r="G114" s="7"/>
      <x:c r="H114" s="7"/>
      <x:c r="I114" s="7"/>
      <x:c r="J114" s="8"/>
      <x:c r="K114" s="7"/>
      <x:c r="L114" s="7"/>
      <x:c r="M114" s="7"/>
      <x:c r="N114" s="7"/>
      <x:c r="O114" s="7"/>
      <x:c r="P114" s="7"/>
      <x:c r="Q114" s="3" t="str">
        <x:f>IF(COUNTA(A114:P114)=0,"",IFERROR(IF(AND(A114&lt;&gt;"",COUNTIF($A$2:$A$201,A114)=1,OR(LEFT(B114,2)="V-",LEFT(B114,4)="SYN-"),LEN(MID(B114,IF(LEFT(B114,2)="V-",3,5),30))&gt;0,ISNUMBER(VALUE(MID(B114,IF(LEFT(B114,2)="V-",3,5),30))),VALUE(MID(B114,IF(LEFT(B114,2)="V-",3,5),30))&gt;=0,MOD(VALUE(MID(B114,IF(LEFT(B114,2)="V-",3,5),30)),1)=0,COUNTIFS(Slots!$A$2:$A$31,"E2",Slots!$B$2:$B$31,C114)=1,ISNUMBER(SEARCH("|"&amp;D114&amp;"|","|"&amp;Settings!$B$9&amp;"|")),OR(E114="regular",E114="first"),OR(F114="include",F114="duplicate",F114="late"),OR(H114="yes",H114="no"),OR(I114="success",I114="failed",I114="unknown",I114="not_sent"),OR(K114="yes",K114="no",K114="none",K114="conflict",K114="unknown"),OR(L114="text",L114="emoji",L114="voice",L114="none",L114="unknown"),OR(M114="yes",M114="no",M114="unknown"),OR(N114="yes",N114="no",N114="unknown"),ISNUMBER(O114),OR(O114=0,O114=1),OR(P114="",P114="soft_yes",P114="forgot",P114="time_place",P114="clash",P114="travel",P114="personal",P114="unknown",P114="silent_but_came"),OR(I114&lt;&gt;"success",AND(J114&lt;&gt;"",COUNTIFS($J$2:$J$201,J114,$I$2:$I$201,"success")=1)),OR(I114&lt;&gt;"not_sent",J114=""),IF(F114="duplicate",AND(COUNTIFS($A$2:$A$201,G114,$B$2:$B$201,B114,$C$2:$C$201,C114,$F$2:$F$201,"include")=1,H114="no",I114="not_sent",K114="none",M114="no",N114="no",O114=0),AND(G114="",N114&lt;&gt;"unknown",COUNTIFS($B$2:$B$201,B114,$F$2:$F$201,"&lt;&gt;duplicate")=1)),IF(F114="include",AND(H114="yes",K114&lt;&gt;"conflict",K114&lt;&gt;"unknown",M114&lt;&gt;"unknown",IF(OR(K114="yes",K114="no"),AND(M114="yes",OR(L114="text",L114="emoji",L114="voice")),L114="none")),TRUE),IF(F114="late",AND(H114="no",I114="not_sent",K114="none",L114="none",O114=0),TRUE)),"OK","CHECK"),"CHECK"))</x:f>
      </x:c>
      <x:c r="R114" s="3"/>
    </x:row>
    <x:row r="115" ht="22" customHeight="1">
      <x:c r="A115" s="8"/>
      <x:c r="B115" s="8"/>
      <x:c r="C115" s="8"/>
      <x:c r="D115" s="8"/>
      <x:c r="E115" s="7"/>
      <x:c r="F115" s="7"/>
      <x:c r="G115" s="7"/>
      <x:c r="H115" s="7"/>
      <x:c r="I115" s="7"/>
      <x:c r="J115" s="8"/>
      <x:c r="K115" s="7"/>
      <x:c r="L115" s="7"/>
      <x:c r="M115" s="7"/>
      <x:c r="N115" s="7"/>
      <x:c r="O115" s="7"/>
      <x:c r="P115" s="7"/>
      <x:c r="Q115" s="3" t="str">
        <x:f>IF(COUNTA(A115:P115)=0,"",IFERROR(IF(AND(A115&lt;&gt;"",COUNTIF($A$2:$A$201,A115)=1,OR(LEFT(B115,2)="V-",LEFT(B115,4)="SYN-"),LEN(MID(B115,IF(LEFT(B115,2)="V-",3,5),30))&gt;0,ISNUMBER(VALUE(MID(B115,IF(LEFT(B115,2)="V-",3,5),30))),VALUE(MID(B115,IF(LEFT(B115,2)="V-",3,5),30))&gt;=0,MOD(VALUE(MID(B115,IF(LEFT(B115,2)="V-",3,5),30)),1)=0,COUNTIFS(Slots!$A$2:$A$31,"E2",Slots!$B$2:$B$31,C115)=1,ISNUMBER(SEARCH("|"&amp;D115&amp;"|","|"&amp;Settings!$B$9&amp;"|")),OR(E115="regular",E115="first"),OR(F115="include",F115="duplicate",F115="late"),OR(H115="yes",H115="no"),OR(I115="success",I115="failed",I115="unknown",I115="not_sent"),OR(K115="yes",K115="no",K115="none",K115="conflict",K115="unknown"),OR(L115="text",L115="emoji",L115="voice",L115="none",L115="unknown"),OR(M115="yes",M115="no",M115="unknown"),OR(N115="yes",N115="no",N115="unknown"),ISNUMBER(O115),OR(O115=0,O115=1),OR(P115="",P115="soft_yes",P115="forgot",P115="time_place",P115="clash",P115="travel",P115="personal",P115="unknown",P115="silent_but_came"),OR(I115&lt;&gt;"success",AND(J115&lt;&gt;"",COUNTIFS($J$2:$J$201,J115,$I$2:$I$201,"success")=1)),OR(I115&lt;&gt;"not_sent",J115=""),IF(F115="duplicate",AND(COUNTIFS($A$2:$A$201,G115,$B$2:$B$201,B115,$C$2:$C$201,C115,$F$2:$F$201,"include")=1,H115="no",I115="not_sent",K115="none",M115="no",N115="no",O115=0),AND(G115="",N115&lt;&gt;"unknown",COUNTIFS($B$2:$B$201,B115,$F$2:$F$201,"&lt;&gt;duplicate")=1)),IF(F115="include",AND(H115="yes",K115&lt;&gt;"conflict",K115&lt;&gt;"unknown",M115&lt;&gt;"unknown",IF(OR(K115="yes",K115="no"),AND(M115="yes",OR(L115="text",L115="emoji",L115="voice")),L115="none")),TRUE),IF(F115="late",AND(H115="no",I115="not_sent",K115="none",L115="none",O115=0),TRUE)),"OK","CHECK"),"CHECK"))</x:f>
      </x:c>
      <x:c r="R115" s="3"/>
    </x:row>
    <x:row r="116" ht="22" customHeight="1">
      <x:c r="A116" s="8"/>
      <x:c r="B116" s="8"/>
      <x:c r="C116" s="8"/>
      <x:c r="D116" s="8"/>
      <x:c r="E116" s="7"/>
      <x:c r="F116" s="7"/>
      <x:c r="G116" s="7"/>
      <x:c r="H116" s="7"/>
      <x:c r="I116" s="7"/>
      <x:c r="J116" s="8"/>
      <x:c r="K116" s="7"/>
      <x:c r="L116" s="7"/>
      <x:c r="M116" s="7"/>
      <x:c r="N116" s="7"/>
      <x:c r="O116" s="7"/>
      <x:c r="P116" s="7"/>
      <x:c r="Q116" s="3" t="str">
        <x:f>IF(COUNTA(A116:P116)=0,"",IFERROR(IF(AND(A116&lt;&gt;"",COUNTIF($A$2:$A$201,A116)=1,OR(LEFT(B116,2)="V-",LEFT(B116,4)="SYN-"),LEN(MID(B116,IF(LEFT(B116,2)="V-",3,5),30))&gt;0,ISNUMBER(VALUE(MID(B116,IF(LEFT(B116,2)="V-",3,5),30))),VALUE(MID(B116,IF(LEFT(B116,2)="V-",3,5),30))&gt;=0,MOD(VALUE(MID(B116,IF(LEFT(B116,2)="V-",3,5),30)),1)=0,COUNTIFS(Slots!$A$2:$A$31,"E2",Slots!$B$2:$B$31,C116)=1,ISNUMBER(SEARCH("|"&amp;D116&amp;"|","|"&amp;Settings!$B$9&amp;"|")),OR(E116="regular",E116="first"),OR(F116="include",F116="duplicate",F116="late"),OR(H116="yes",H116="no"),OR(I116="success",I116="failed",I116="unknown",I116="not_sent"),OR(K116="yes",K116="no",K116="none",K116="conflict",K116="unknown"),OR(L116="text",L116="emoji",L116="voice",L116="none",L116="unknown"),OR(M116="yes",M116="no",M116="unknown"),OR(N116="yes",N116="no",N116="unknown"),ISNUMBER(O116),OR(O116=0,O116=1),OR(P116="",P116="soft_yes",P116="forgot",P116="time_place",P116="clash",P116="travel",P116="personal",P116="unknown",P116="silent_but_came"),OR(I116&lt;&gt;"success",AND(J116&lt;&gt;"",COUNTIFS($J$2:$J$201,J116,$I$2:$I$201,"success")=1)),OR(I116&lt;&gt;"not_sent",J116=""),IF(F116="duplicate",AND(COUNTIFS($A$2:$A$201,G116,$B$2:$B$201,B116,$C$2:$C$201,C116,$F$2:$F$201,"include")=1,H116="no",I116="not_sent",K116="none",M116="no",N116="no",O116=0),AND(G116="",N116&lt;&gt;"unknown",COUNTIFS($B$2:$B$201,B116,$F$2:$F$201,"&lt;&gt;duplicate")=1)),IF(F116="include",AND(H116="yes",K116&lt;&gt;"conflict",K116&lt;&gt;"unknown",M116&lt;&gt;"unknown",IF(OR(K116="yes",K116="no"),AND(M116="yes",OR(L116="text",L116="emoji",L116="voice")),L116="none")),TRUE),IF(F116="late",AND(H116="no",I116="not_sent",K116="none",L116="none",O116=0),TRUE)),"OK","CHECK"),"CHECK"))</x:f>
      </x:c>
      <x:c r="R116" s="3"/>
    </x:row>
    <x:row r="117" ht="22" customHeight="1">
      <x:c r="A117" s="8"/>
      <x:c r="B117" s="8"/>
      <x:c r="C117" s="8"/>
      <x:c r="D117" s="8"/>
      <x:c r="E117" s="7"/>
      <x:c r="F117" s="7"/>
      <x:c r="G117" s="7"/>
      <x:c r="H117" s="7"/>
      <x:c r="I117" s="7"/>
      <x:c r="J117" s="8"/>
      <x:c r="K117" s="7"/>
      <x:c r="L117" s="7"/>
      <x:c r="M117" s="7"/>
      <x:c r="N117" s="7"/>
      <x:c r="O117" s="7"/>
      <x:c r="P117" s="7"/>
      <x:c r="Q117" s="3" t="str">
        <x:f>IF(COUNTA(A117:P117)=0,"",IFERROR(IF(AND(A117&lt;&gt;"",COUNTIF($A$2:$A$201,A117)=1,OR(LEFT(B117,2)="V-",LEFT(B117,4)="SYN-"),LEN(MID(B117,IF(LEFT(B117,2)="V-",3,5),30))&gt;0,ISNUMBER(VALUE(MID(B117,IF(LEFT(B117,2)="V-",3,5),30))),VALUE(MID(B117,IF(LEFT(B117,2)="V-",3,5),30))&gt;=0,MOD(VALUE(MID(B117,IF(LEFT(B117,2)="V-",3,5),30)),1)=0,COUNTIFS(Slots!$A$2:$A$31,"E2",Slots!$B$2:$B$31,C117)=1,ISNUMBER(SEARCH("|"&amp;D117&amp;"|","|"&amp;Settings!$B$9&amp;"|")),OR(E117="regular",E117="first"),OR(F117="include",F117="duplicate",F117="late"),OR(H117="yes",H117="no"),OR(I117="success",I117="failed",I117="unknown",I117="not_sent"),OR(K117="yes",K117="no",K117="none",K117="conflict",K117="unknown"),OR(L117="text",L117="emoji",L117="voice",L117="none",L117="unknown"),OR(M117="yes",M117="no",M117="unknown"),OR(N117="yes",N117="no",N117="unknown"),ISNUMBER(O117),OR(O117=0,O117=1),OR(P117="",P117="soft_yes",P117="forgot",P117="time_place",P117="clash",P117="travel",P117="personal",P117="unknown",P117="silent_but_came"),OR(I117&lt;&gt;"success",AND(J117&lt;&gt;"",COUNTIFS($J$2:$J$201,J117,$I$2:$I$201,"success")=1)),OR(I117&lt;&gt;"not_sent",J117=""),IF(F117="duplicate",AND(COUNTIFS($A$2:$A$201,G117,$B$2:$B$201,B117,$C$2:$C$201,C117,$F$2:$F$201,"include")=1,H117="no",I117="not_sent",K117="none",M117="no",N117="no",O117=0),AND(G117="",N117&lt;&gt;"unknown",COUNTIFS($B$2:$B$201,B117,$F$2:$F$201,"&lt;&gt;duplicate")=1)),IF(F117="include",AND(H117="yes",K117&lt;&gt;"conflict",K117&lt;&gt;"unknown",M117&lt;&gt;"unknown",IF(OR(K117="yes",K117="no"),AND(M117="yes",OR(L117="text",L117="emoji",L117="voice")),L117="none")),TRUE),IF(F117="late",AND(H117="no",I117="not_sent",K117="none",L117="none",O117=0),TRUE)),"OK","CHECK"),"CHECK"))</x:f>
      </x:c>
      <x:c r="R117" s="3"/>
    </x:row>
    <x:row r="118" ht="22" customHeight="1">
      <x:c r="A118" s="8"/>
      <x:c r="B118" s="8"/>
      <x:c r="C118" s="8"/>
      <x:c r="D118" s="8"/>
      <x:c r="E118" s="7"/>
      <x:c r="F118" s="7"/>
      <x:c r="G118" s="7"/>
      <x:c r="H118" s="7"/>
      <x:c r="I118" s="7"/>
      <x:c r="J118" s="8"/>
      <x:c r="K118" s="7"/>
      <x:c r="L118" s="7"/>
      <x:c r="M118" s="7"/>
      <x:c r="N118" s="7"/>
      <x:c r="O118" s="7"/>
      <x:c r="P118" s="7"/>
      <x:c r="Q118" s="3" t="str">
        <x:f>IF(COUNTA(A118:P118)=0,"",IFERROR(IF(AND(A118&lt;&gt;"",COUNTIF($A$2:$A$201,A118)=1,OR(LEFT(B118,2)="V-",LEFT(B118,4)="SYN-"),LEN(MID(B118,IF(LEFT(B118,2)="V-",3,5),30))&gt;0,ISNUMBER(VALUE(MID(B118,IF(LEFT(B118,2)="V-",3,5),30))),VALUE(MID(B118,IF(LEFT(B118,2)="V-",3,5),30))&gt;=0,MOD(VALUE(MID(B118,IF(LEFT(B118,2)="V-",3,5),30)),1)=0,COUNTIFS(Slots!$A$2:$A$31,"E2",Slots!$B$2:$B$31,C118)=1,ISNUMBER(SEARCH("|"&amp;D118&amp;"|","|"&amp;Settings!$B$9&amp;"|")),OR(E118="regular",E118="first"),OR(F118="include",F118="duplicate",F118="late"),OR(H118="yes",H118="no"),OR(I118="success",I118="failed",I118="unknown",I118="not_sent"),OR(K118="yes",K118="no",K118="none",K118="conflict",K118="unknown"),OR(L118="text",L118="emoji",L118="voice",L118="none",L118="unknown"),OR(M118="yes",M118="no",M118="unknown"),OR(N118="yes",N118="no",N118="unknown"),ISNUMBER(O118),OR(O118=0,O118=1),OR(P118="",P118="soft_yes",P118="forgot",P118="time_place",P118="clash",P118="travel",P118="personal",P118="unknown",P118="silent_but_came"),OR(I118&lt;&gt;"success",AND(J118&lt;&gt;"",COUNTIFS($J$2:$J$201,J118,$I$2:$I$201,"success")=1)),OR(I118&lt;&gt;"not_sent",J118=""),IF(F118="duplicate",AND(COUNTIFS($A$2:$A$201,G118,$B$2:$B$201,B118,$C$2:$C$201,C118,$F$2:$F$201,"include")=1,H118="no",I118="not_sent",K118="none",M118="no",N118="no",O118=0),AND(G118="",N118&lt;&gt;"unknown",COUNTIFS($B$2:$B$201,B118,$F$2:$F$201,"&lt;&gt;duplicate")=1)),IF(F118="include",AND(H118="yes",K118&lt;&gt;"conflict",K118&lt;&gt;"unknown",M118&lt;&gt;"unknown",IF(OR(K118="yes",K118="no"),AND(M118="yes",OR(L118="text",L118="emoji",L118="voice")),L118="none")),TRUE),IF(F118="late",AND(H118="no",I118="not_sent",K118="none",L118="none",O118=0),TRUE)),"OK","CHECK"),"CHECK"))</x:f>
      </x:c>
      <x:c r="R118" s="3"/>
    </x:row>
    <x:row r="119" ht="22" customHeight="1">
      <x:c r="A119" s="8"/>
      <x:c r="B119" s="8"/>
      <x:c r="C119" s="8"/>
      <x:c r="D119" s="8"/>
      <x:c r="E119" s="7"/>
      <x:c r="F119" s="7"/>
      <x:c r="G119" s="7"/>
      <x:c r="H119" s="7"/>
      <x:c r="I119" s="7"/>
      <x:c r="J119" s="8"/>
      <x:c r="K119" s="7"/>
      <x:c r="L119" s="7"/>
      <x:c r="M119" s="7"/>
      <x:c r="N119" s="7"/>
      <x:c r="O119" s="7"/>
      <x:c r="P119" s="7"/>
      <x:c r="Q119" s="3" t="str">
        <x:f>IF(COUNTA(A119:P119)=0,"",IFERROR(IF(AND(A119&lt;&gt;"",COUNTIF($A$2:$A$201,A119)=1,OR(LEFT(B119,2)="V-",LEFT(B119,4)="SYN-"),LEN(MID(B119,IF(LEFT(B119,2)="V-",3,5),30))&gt;0,ISNUMBER(VALUE(MID(B119,IF(LEFT(B119,2)="V-",3,5),30))),VALUE(MID(B119,IF(LEFT(B119,2)="V-",3,5),30))&gt;=0,MOD(VALUE(MID(B119,IF(LEFT(B119,2)="V-",3,5),30)),1)=0,COUNTIFS(Slots!$A$2:$A$31,"E2",Slots!$B$2:$B$31,C119)=1,ISNUMBER(SEARCH("|"&amp;D119&amp;"|","|"&amp;Settings!$B$9&amp;"|")),OR(E119="regular",E119="first"),OR(F119="include",F119="duplicate",F119="late"),OR(H119="yes",H119="no"),OR(I119="success",I119="failed",I119="unknown",I119="not_sent"),OR(K119="yes",K119="no",K119="none",K119="conflict",K119="unknown"),OR(L119="text",L119="emoji",L119="voice",L119="none",L119="unknown"),OR(M119="yes",M119="no",M119="unknown"),OR(N119="yes",N119="no",N119="unknown"),ISNUMBER(O119),OR(O119=0,O119=1),OR(P119="",P119="soft_yes",P119="forgot",P119="time_place",P119="clash",P119="travel",P119="personal",P119="unknown",P119="silent_but_came"),OR(I119&lt;&gt;"success",AND(J119&lt;&gt;"",COUNTIFS($J$2:$J$201,J119,$I$2:$I$201,"success")=1)),OR(I119&lt;&gt;"not_sent",J119=""),IF(F119="duplicate",AND(COUNTIFS($A$2:$A$201,G119,$B$2:$B$201,B119,$C$2:$C$201,C119,$F$2:$F$201,"include")=1,H119="no",I119="not_sent",K119="none",M119="no",N119="no",O119=0),AND(G119="",N119&lt;&gt;"unknown",COUNTIFS($B$2:$B$201,B119,$F$2:$F$201,"&lt;&gt;duplicate")=1)),IF(F119="include",AND(H119="yes",K119&lt;&gt;"conflict",K119&lt;&gt;"unknown",M119&lt;&gt;"unknown",IF(OR(K119="yes",K119="no"),AND(M119="yes",OR(L119="text",L119="emoji",L119="voice")),L119="none")),TRUE),IF(F119="late",AND(H119="no",I119="not_sent",K119="none",L119="none",O119=0),TRUE)),"OK","CHECK"),"CHECK"))</x:f>
      </x:c>
      <x:c r="R119" s="3"/>
    </x:row>
    <x:row r="120" ht="22" customHeight="1">
      <x:c r="A120" s="8"/>
      <x:c r="B120" s="8"/>
      <x:c r="C120" s="8"/>
      <x:c r="D120" s="8"/>
      <x:c r="E120" s="7"/>
      <x:c r="F120" s="7"/>
      <x:c r="G120" s="7"/>
      <x:c r="H120" s="7"/>
      <x:c r="I120" s="7"/>
      <x:c r="J120" s="8"/>
      <x:c r="K120" s="7"/>
      <x:c r="L120" s="7"/>
      <x:c r="M120" s="7"/>
      <x:c r="N120" s="7"/>
      <x:c r="O120" s="7"/>
      <x:c r="P120" s="7"/>
      <x:c r="Q120" s="3" t="str">
        <x:f>IF(COUNTA(A120:P120)=0,"",IFERROR(IF(AND(A120&lt;&gt;"",COUNTIF($A$2:$A$201,A120)=1,OR(LEFT(B120,2)="V-",LEFT(B120,4)="SYN-"),LEN(MID(B120,IF(LEFT(B120,2)="V-",3,5),30))&gt;0,ISNUMBER(VALUE(MID(B120,IF(LEFT(B120,2)="V-",3,5),30))),VALUE(MID(B120,IF(LEFT(B120,2)="V-",3,5),30))&gt;=0,MOD(VALUE(MID(B120,IF(LEFT(B120,2)="V-",3,5),30)),1)=0,COUNTIFS(Slots!$A$2:$A$31,"E2",Slots!$B$2:$B$31,C120)=1,ISNUMBER(SEARCH("|"&amp;D120&amp;"|","|"&amp;Settings!$B$9&amp;"|")),OR(E120="regular",E120="first"),OR(F120="include",F120="duplicate",F120="late"),OR(H120="yes",H120="no"),OR(I120="success",I120="failed",I120="unknown",I120="not_sent"),OR(K120="yes",K120="no",K120="none",K120="conflict",K120="unknown"),OR(L120="text",L120="emoji",L120="voice",L120="none",L120="unknown"),OR(M120="yes",M120="no",M120="unknown"),OR(N120="yes",N120="no",N120="unknown"),ISNUMBER(O120),OR(O120=0,O120=1),OR(P120="",P120="soft_yes",P120="forgot",P120="time_place",P120="clash",P120="travel",P120="personal",P120="unknown",P120="silent_but_came"),OR(I120&lt;&gt;"success",AND(J120&lt;&gt;"",COUNTIFS($J$2:$J$201,J120,$I$2:$I$201,"success")=1)),OR(I120&lt;&gt;"not_sent",J120=""),IF(F120="duplicate",AND(COUNTIFS($A$2:$A$201,G120,$B$2:$B$201,B120,$C$2:$C$201,C120,$F$2:$F$201,"include")=1,H120="no",I120="not_sent",K120="none",M120="no",N120="no",O120=0),AND(G120="",N120&lt;&gt;"unknown",COUNTIFS($B$2:$B$201,B120,$F$2:$F$201,"&lt;&gt;duplicate")=1)),IF(F120="include",AND(H120="yes",K120&lt;&gt;"conflict",K120&lt;&gt;"unknown",M120&lt;&gt;"unknown",IF(OR(K120="yes",K120="no"),AND(M120="yes",OR(L120="text",L120="emoji",L120="voice")),L120="none")),TRUE),IF(F120="late",AND(H120="no",I120="not_sent",K120="none",L120="none",O120=0),TRUE)),"OK","CHECK"),"CHECK"))</x:f>
      </x:c>
      <x:c r="R120" s="3"/>
    </x:row>
    <x:row r="121" ht="22" customHeight="1">
      <x:c r="A121" s="8"/>
      <x:c r="B121" s="8"/>
      <x:c r="C121" s="8"/>
      <x:c r="D121" s="8"/>
      <x:c r="E121" s="7"/>
      <x:c r="F121" s="7"/>
      <x:c r="G121" s="7"/>
      <x:c r="H121" s="7"/>
      <x:c r="I121" s="7"/>
      <x:c r="J121" s="8"/>
      <x:c r="K121" s="7"/>
      <x:c r="L121" s="7"/>
      <x:c r="M121" s="7"/>
      <x:c r="N121" s="7"/>
      <x:c r="O121" s="7"/>
      <x:c r="P121" s="7"/>
      <x:c r="Q121" s="3" t="str">
        <x:f>IF(COUNTA(A121:P121)=0,"",IFERROR(IF(AND(A121&lt;&gt;"",COUNTIF($A$2:$A$201,A121)=1,OR(LEFT(B121,2)="V-",LEFT(B121,4)="SYN-"),LEN(MID(B121,IF(LEFT(B121,2)="V-",3,5),30))&gt;0,ISNUMBER(VALUE(MID(B121,IF(LEFT(B121,2)="V-",3,5),30))),VALUE(MID(B121,IF(LEFT(B121,2)="V-",3,5),30))&gt;=0,MOD(VALUE(MID(B121,IF(LEFT(B121,2)="V-",3,5),30)),1)=0,COUNTIFS(Slots!$A$2:$A$31,"E2",Slots!$B$2:$B$31,C121)=1,ISNUMBER(SEARCH("|"&amp;D121&amp;"|","|"&amp;Settings!$B$9&amp;"|")),OR(E121="regular",E121="first"),OR(F121="include",F121="duplicate",F121="late"),OR(H121="yes",H121="no"),OR(I121="success",I121="failed",I121="unknown",I121="not_sent"),OR(K121="yes",K121="no",K121="none",K121="conflict",K121="unknown"),OR(L121="text",L121="emoji",L121="voice",L121="none",L121="unknown"),OR(M121="yes",M121="no",M121="unknown"),OR(N121="yes",N121="no",N121="unknown"),ISNUMBER(O121),OR(O121=0,O121=1),OR(P121="",P121="soft_yes",P121="forgot",P121="time_place",P121="clash",P121="travel",P121="personal",P121="unknown",P121="silent_but_came"),OR(I121&lt;&gt;"success",AND(J121&lt;&gt;"",COUNTIFS($J$2:$J$201,J121,$I$2:$I$201,"success")=1)),OR(I121&lt;&gt;"not_sent",J121=""),IF(F121="duplicate",AND(COUNTIFS($A$2:$A$201,G121,$B$2:$B$201,B121,$C$2:$C$201,C121,$F$2:$F$201,"include")=1,H121="no",I121="not_sent",K121="none",M121="no",N121="no",O121=0),AND(G121="",N121&lt;&gt;"unknown",COUNTIFS($B$2:$B$201,B121,$F$2:$F$201,"&lt;&gt;duplicate")=1)),IF(F121="include",AND(H121="yes",K121&lt;&gt;"conflict",K121&lt;&gt;"unknown",M121&lt;&gt;"unknown",IF(OR(K121="yes",K121="no"),AND(M121="yes",OR(L121="text",L121="emoji",L121="voice")),L121="none")),TRUE),IF(F121="late",AND(H121="no",I121="not_sent",K121="none",L121="none",O121=0),TRUE)),"OK","CHECK"),"CHECK"))</x:f>
      </x:c>
      <x:c r="R121" s="3"/>
    </x:row>
    <x:row r="122" ht="22" customHeight="1">
      <x:c r="A122" s="8"/>
      <x:c r="B122" s="8"/>
      <x:c r="C122" s="8"/>
      <x:c r="D122" s="8"/>
      <x:c r="E122" s="7"/>
      <x:c r="F122" s="7"/>
      <x:c r="G122" s="7"/>
      <x:c r="H122" s="7"/>
      <x:c r="I122" s="7"/>
      <x:c r="J122" s="8"/>
      <x:c r="K122" s="7"/>
      <x:c r="L122" s="7"/>
      <x:c r="M122" s="7"/>
      <x:c r="N122" s="7"/>
      <x:c r="O122" s="7"/>
      <x:c r="P122" s="7"/>
      <x:c r="Q122" s="3" t="str">
        <x:f>IF(COUNTA(A122:P122)=0,"",IFERROR(IF(AND(A122&lt;&gt;"",COUNTIF($A$2:$A$201,A122)=1,OR(LEFT(B122,2)="V-",LEFT(B122,4)="SYN-"),LEN(MID(B122,IF(LEFT(B122,2)="V-",3,5),30))&gt;0,ISNUMBER(VALUE(MID(B122,IF(LEFT(B122,2)="V-",3,5),30))),VALUE(MID(B122,IF(LEFT(B122,2)="V-",3,5),30))&gt;=0,MOD(VALUE(MID(B122,IF(LEFT(B122,2)="V-",3,5),30)),1)=0,COUNTIFS(Slots!$A$2:$A$31,"E2",Slots!$B$2:$B$31,C122)=1,ISNUMBER(SEARCH("|"&amp;D122&amp;"|","|"&amp;Settings!$B$9&amp;"|")),OR(E122="regular",E122="first"),OR(F122="include",F122="duplicate",F122="late"),OR(H122="yes",H122="no"),OR(I122="success",I122="failed",I122="unknown",I122="not_sent"),OR(K122="yes",K122="no",K122="none",K122="conflict",K122="unknown"),OR(L122="text",L122="emoji",L122="voice",L122="none",L122="unknown"),OR(M122="yes",M122="no",M122="unknown"),OR(N122="yes",N122="no",N122="unknown"),ISNUMBER(O122),OR(O122=0,O122=1),OR(P122="",P122="soft_yes",P122="forgot",P122="time_place",P122="clash",P122="travel",P122="personal",P122="unknown",P122="silent_but_came"),OR(I122&lt;&gt;"success",AND(J122&lt;&gt;"",COUNTIFS($J$2:$J$201,J122,$I$2:$I$201,"success")=1)),OR(I122&lt;&gt;"not_sent",J122=""),IF(F122="duplicate",AND(COUNTIFS($A$2:$A$201,G122,$B$2:$B$201,B122,$C$2:$C$201,C122,$F$2:$F$201,"include")=1,H122="no",I122="not_sent",K122="none",M122="no",N122="no",O122=0),AND(G122="",N122&lt;&gt;"unknown",COUNTIFS($B$2:$B$201,B122,$F$2:$F$201,"&lt;&gt;duplicate")=1)),IF(F122="include",AND(H122="yes",K122&lt;&gt;"conflict",K122&lt;&gt;"unknown",M122&lt;&gt;"unknown",IF(OR(K122="yes",K122="no"),AND(M122="yes",OR(L122="text",L122="emoji",L122="voice")),L122="none")),TRUE),IF(F122="late",AND(H122="no",I122="not_sent",K122="none",L122="none",O122=0),TRUE)),"OK","CHECK"),"CHECK"))</x:f>
      </x:c>
      <x:c r="R122" s="3"/>
    </x:row>
    <x:row r="123" ht="22" customHeight="1">
      <x:c r="A123" s="8"/>
      <x:c r="B123" s="8"/>
      <x:c r="C123" s="8"/>
      <x:c r="D123" s="8"/>
      <x:c r="E123" s="7"/>
      <x:c r="F123" s="7"/>
      <x:c r="G123" s="7"/>
      <x:c r="H123" s="7"/>
      <x:c r="I123" s="7"/>
      <x:c r="J123" s="8"/>
      <x:c r="K123" s="7"/>
      <x:c r="L123" s="7"/>
      <x:c r="M123" s="7"/>
      <x:c r="N123" s="7"/>
      <x:c r="O123" s="7"/>
      <x:c r="P123" s="7"/>
      <x:c r="Q123" s="3" t="str">
        <x:f>IF(COUNTA(A123:P123)=0,"",IFERROR(IF(AND(A123&lt;&gt;"",COUNTIF($A$2:$A$201,A123)=1,OR(LEFT(B123,2)="V-",LEFT(B123,4)="SYN-"),LEN(MID(B123,IF(LEFT(B123,2)="V-",3,5),30))&gt;0,ISNUMBER(VALUE(MID(B123,IF(LEFT(B123,2)="V-",3,5),30))),VALUE(MID(B123,IF(LEFT(B123,2)="V-",3,5),30))&gt;=0,MOD(VALUE(MID(B123,IF(LEFT(B123,2)="V-",3,5),30)),1)=0,COUNTIFS(Slots!$A$2:$A$31,"E2",Slots!$B$2:$B$31,C123)=1,ISNUMBER(SEARCH("|"&amp;D123&amp;"|","|"&amp;Settings!$B$9&amp;"|")),OR(E123="regular",E123="first"),OR(F123="include",F123="duplicate",F123="late"),OR(H123="yes",H123="no"),OR(I123="success",I123="failed",I123="unknown",I123="not_sent"),OR(K123="yes",K123="no",K123="none",K123="conflict",K123="unknown"),OR(L123="text",L123="emoji",L123="voice",L123="none",L123="unknown"),OR(M123="yes",M123="no",M123="unknown"),OR(N123="yes",N123="no",N123="unknown"),ISNUMBER(O123),OR(O123=0,O123=1),OR(P123="",P123="soft_yes",P123="forgot",P123="time_place",P123="clash",P123="travel",P123="personal",P123="unknown",P123="silent_but_came"),OR(I123&lt;&gt;"success",AND(J123&lt;&gt;"",COUNTIFS($J$2:$J$201,J123,$I$2:$I$201,"success")=1)),OR(I123&lt;&gt;"not_sent",J123=""),IF(F123="duplicate",AND(COUNTIFS($A$2:$A$201,G123,$B$2:$B$201,B123,$C$2:$C$201,C123,$F$2:$F$201,"include")=1,H123="no",I123="not_sent",K123="none",M123="no",N123="no",O123=0),AND(G123="",N123&lt;&gt;"unknown",COUNTIFS($B$2:$B$201,B123,$F$2:$F$201,"&lt;&gt;duplicate")=1)),IF(F123="include",AND(H123="yes",K123&lt;&gt;"conflict",K123&lt;&gt;"unknown",M123&lt;&gt;"unknown",IF(OR(K123="yes",K123="no"),AND(M123="yes",OR(L123="text",L123="emoji",L123="voice")),L123="none")),TRUE),IF(F123="late",AND(H123="no",I123="not_sent",K123="none",L123="none",O123=0),TRUE)),"OK","CHECK"),"CHECK"))</x:f>
      </x:c>
      <x:c r="R123" s="3"/>
    </x:row>
    <x:row r="124" ht="22" customHeight="1">
      <x:c r="A124" s="8"/>
      <x:c r="B124" s="8"/>
      <x:c r="C124" s="8"/>
      <x:c r="D124" s="8"/>
      <x:c r="E124" s="7"/>
      <x:c r="F124" s="7"/>
      <x:c r="G124" s="7"/>
      <x:c r="H124" s="7"/>
      <x:c r="I124" s="7"/>
      <x:c r="J124" s="8"/>
      <x:c r="K124" s="7"/>
      <x:c r="L124" s="7"/>
      <x:c r="M124" s="7"/>
      <x:c r="N124" s="7"/>
      <x:c r="O124" s="7"/>
      <x:c r="P124" s="7"/>
      <x:c r="Q124" s="3" t="str">
        <x:f>IF(COUNTA(A124:P124)=0,"",IFERROR(IF(AND(A124&lt;&gt;"",COUNTIF($A$2:$A$201,A124)=1,OR(LEFT(B124,2)="V-",LEFT(B124,4)="SYN-"),LEN(MID(B124,IF(LEFT(B124,2)="V-",3,5),30))&gt;0,ISNUMBER(VALUE(MID(B124,IF(LEFT(B124,2)="V-",3,5),30))),VALUE(MID(B124,IF(LEFT(B124,2)="V-",3,5),30))&gt;=0,MOD(VALUE(MID(B124,IF(LEFT(B124,2)="V-",3,5),30)),1)=0,COUNTIFS(Slots!$A$2:$A$31,"E2",Slots!$B$2:$B$31,C124)=1,ISNUMBER(SEARCH("|"&amp;D124&amp;"|","|"&amp;Settings!$B$9&amp;"|")),OR(E124="regular",E124="first"),OR(F124="include",F124="duplicate",F124="late"),OR(H124="yes",H124="no"),OR(I124="success",I124="failed",I124="unknown",I124="not_sent"),OR(K124="yes",K124="no",K124="none",K124="conflict",K124="unknown"),OR(L124="text",L124="emoji",L124="voice",L124="none",L124="unknown"),OR(M124="yes",M124="no",M124="unknown"),OR(N124="yes",N124="no",N124="unknown"),ISNUMBER(O124),OR(O124=0,O124=1),OR(P124="",P124="soft_yes",P124="forgot",P124="time_place",P124="clash",P124="travel",P124="personal",P124="unknown",P124="silent_but_came"),OR(I124&lt;&gt;"success",AND(J124&lt;&gt;"",COUNTIFS($J$2:$J$201,J124,$I$2:$I$201,"success")=1)),OR(I124&lt;&gt;"not_sent",J124=""),IF(F124="duplicate",AND(COUNTIFS($A$2:$A$201,G124,$B$2:$B$201,B124,$C$2:$C$201,C124,$F$2:$F$201,"include")=1,H124="no",I124="not_sent",K124="none",M124="no",N124="no",O124=0),AND(G124="",N124&lt;&gt;"unknown",COUNTIFS($B$2:$B$201,B124,$F$2:$F$201,"&lt;&gt;duplicate")=1)),IF(F124="include",AND(H124="yes",K124&lt;&gt;"conflict",K124&lt;&gt;"unknown",M124&lt;&gt;"unknown",IF(OR(K124="yes",K124="no"),AND(M124="yes",OR(L124="text",L124="emoji",L124="voice")),L124="none")),TRUE),IF(F124="late",AND(H124="no",I124="not_sent",K124="none",L124="none",O124=0),TRUE)),"OK","CHECK"),"CHECK"))</x:f>
      </x:c>
      <x:c r="R124" s="3"/>
    </x:row>
    <x:row r="125" ht="22" customHeight="1">
      <x:c r="A125" s="8"/>
      <x:c r="B125" s="8"/>
      <x:c r="C125" s="8"/>
      <x:c r="D125" s="8"/>
      <x:c r="E125" s="7"/>
      <x:c r="F125" s="7"/>
      <x:c r="G125" s="7"/>
      <x:c r="H125" s="7"/>
      <x:c r="I125" s="7"/>
      <x:c r="J125" s="8"/>
      <x:c r="K125" s="7"/>
      <x:c r="L125" s="7"/>
      <x:c r="M125" s="7"/>
      <x:c r="N125" s="7"/>
      <x:c r="O125" s="7"/>
      <x:c r="P125" s="7"/>
      <x:c r="Q125" s="3" t="str">
        <x:f>IF(COUNTA(A125:P125)=0,"",IFERROR(IF(AND(A125&lt;&gt;"",COUNTIF($A$2:$A$201,A125)=1,OR(LEFT(B125,2)="V-",LEFT(B125,4)="SYN-"),LEN(MID(B125,IF(LEFT(B125,2)="V-",3,5),30))&gt;0,ISNUMBER(VALUE(MID(B125,IF(LEFT(B125,2)="V-",3,5),30))),VALUE(MID(B125,IF(LEFT(B125,2)="V-",3,5),30))&gt;=0,MOD(VALUE(MID(B125,IF(LEFT(B125,2)="V-",3,5),30)),1)=0,COUNTIFS(Slots!$A$2:$A$31,"E2",Slots!$B$2:$B$31,C125)=1,ISNUMBER(SEARCH("|"&amp;D125&amp;"|","|"&amp;Settings!$B$9&amp;"|")),OR(E125="regular",E125="first"),OR(F125="include",F125="duplicate",F125="late"),OR(H125="yes",H125="no"),OR(I125="success",I125="failed",I125="unknown",I125="not_sent"),OR(K125="yes",K125="no",K125="none",K125="conflict",K125="unknown"),OR(L125="text",L125="emoji",L125="voice",L125="none",L125="unknown"),OR(M125="yes",M125="no",M125="unknown"),OR(N125="yes",N125="no",N125="unknown"),ISNUMBER(O125),OR(O125=0,O125=1),OR(P125="",P125="soft_yes",P125="forgot",P125="time_place",P125="clash",P125="travel",P125="personal",P125="unknown",P125="silent_but_came"),OR(I125&lt;&gt;"success",AND(J125&lt;&gt;"",COUNTIFS($J$2:$J$201,J125,$I$2:$I$201,"success")=1)),OR(I125&lt;&gt;"not_sent",J125=""),IF(F125="duplicate",AND(COUNTIFS($A$2:$A$201,G125,$B$2:$B$201,B125,$C$2:$C$201,C125,$F$2:$F$201,"include")=1,H125="no",I125="not_sent",K125="none",M125="no",N125="no",O125=0),AND(G125="",N125&lt;&gt;"unknown",COUNTIFS($B$2:$B$201,B125,$F$2:$F$201,"&lt;&gt;duplicate")=1)),IF(F125="include",AND(H125="yes",K125&lt;&gt;"conflict",K125&lt;&gt;"unknown",M125&lt;&gt;"unknown",IF(OR(K125="yes",K125="no"),AND(M125="yes",OR(L125="text",L125="emoji",L125="voice")),L125="none")),TRUE),IF(F125="late",AND(H125="no",I125="not_sent",K125="none",L125="none",O125=0),TRUE)),"OK","CHECK"),"CHECK"))</x:f>
      </x:c>
      <x:c r="R125" s="3"/>
    </x:row>
    <x:row r="126" ht="22" customHeight="1">
      <x:c r="A126" s="8"/>
      <x:c r="B126" s="8"/>
      <x:c r="C126" s="8"/>
      <x:c r="D126" s="8"/>
      <x:c r="E126" s="7"/>
      <x:c r="F126" s="7"/>
      <x:c r="G126" s="7"/>
      <x:c r="H126" s="7"/>
      <x:c r="I126" s="7"/>
      <x:c r="J126" s="8"/>
      <x:c r="K126" s="7"/>
      <x:c r="L126" s="7"/>
      <x:c r="M126" s="7"/>
      <x:c r="N126" s="7"/>
      <x:c r="O126" s="7"/>
      <x:c r="P126" s="7"/>
      <x:c r="Q126" s="3" t="str">
        <x:f>IF(COUNTA(A126:P126)=0,"",IFERROR(IF(AND(A126&lt;&gt;"",COUNTIF($A$2:$A$201,A126)=1,OR(LEFT(B126,2)="V-",LEFT(B126,4)="SYN-"),LEN(MID(B126,IF(LEFT(B126,2)="V-",3,5),30))&gt;0,ISNUMBER(VALUE(MID(B126,IF(LEFT(B126,2)="V-",3,5),30))),VALUE(MID(B126,IF(LEFT(B126,2)="V-",3,5),30))&gt;=0,MOD(VALUE(MID(B126,IF(LEFT(B126,2)="V-",3,5),30)),1)=0,COUNTIFS(Slots!$A$2:$A$31,"E2",Slots!$B$2:$B$31,C126)=1,ISNUMBER(SEARCH("|"&amp;D126&amp;"|","|"&amp;Settings!$B$9&amp;"|")),OR(E126="regular",E126="first"),OR(F126="include",F126="duplicate",F126="late"),OR(H126="yes",H126="no"),OR(I126="success",I126="failed",I126="unknown",I126="not_sent"),OR(K126="yes",K126="no",K126="none",K126="conflict",K126="unknown"),OR(L126="text",L126="emoji",L126="voice",L126="none",L126="unknown"),OR(M126="yes",M126="no",M126="unknown"),OR(N126="yes",N126="no",N126="unknown"),ISNUMBER(O126),OR(O126=0,O126=1),OR(P126="",P126="soft_yes",P126="forgot",P126="time_place",P126="clash",P126="travel",P126="personal",P126="unknown",P126="silent_but_came"),OR(I126&lt;&gt;"success",AND(J126&lt;&gt;"",COUNTIFS($J$2:$J$201,J126,$I$2:$I$201,"success")=1)),OR(I126&lt;&gt;"not_sent",J126=""),IF(F126="duplicate",AND(COUNTIFS($A$2:$A$201,G126,$B$2:$B$201,B126,$C$2:$C$201,C126,$F$2:$F$201,"include")=1,H126="no",I126="not_sent",K126="none",M126="no",N126="no",O126=0),AND(G126="",N126&lt;&gt;"unknown",COUNTIFS($B$2:$B$201,B126,$F$2:$F$201,"&lt;&gt;duplicate")=1)),IF(F126="include",AND(H126="yes",K126&lt;&gt;"conflict",K126&lt;&gt;"unknown",M126&lt;&gt;"unknown",IF(OR(K126="yes",K126="no"),AND(M126="yes",OR(L126="text",L126="emoji",L126="voice")),L126="none")),TRUE),IF(F126="late",AND(H126="no",I126="not_sent",K126="none",L126="none",O126=0),TRUE)),"OK","CHECK"),"CHECK"))</x:f>
      </x:c>
      <x:c r="R126" s="3"/>
    </x:row>
    <x:row r="127" ht="22" customHeight="1">
      <x:c r="A127" s="8"/>
      <x:c r="B127" s="8"/>
      <x:c r="C127" s="8"/>
      <x:c r="D127" s="8"/>
      <x:c r="E127" s="7"/>
      <x:c r="F127" s="7"/>
      <x:c r="G127" s="7"/>
      <x:c r="H127" s="7"/>
      <x:c r="I127" s="7"/>
      <x:c r="J127" s="8"/>
      <x:c r="K127" s="7"/>
      <x:c r="L127" s="7"/>
      <x:c r="M127" s="7"/>
      <x:c r="N127" s="7"/>
      <x:c r="O127" s="7"/>
      <x:c r="P127" s="7"/>
      <x:c r="Q127" s="3" t="str">
        <x:f>IF(COUNTA(A127:P127)=0,"",IFERROR(IF(AND(A127&lt;&gt;"",COUNTIF($A$2:$A$201,A127)=1,OR(LEFT(B127,2)="V-",LEFT(B127,4)="SYN-"),LEN(MID(B127,IF(LEFT(B127,2)="V-",3,5),30))&gt;0,ISNUMBER(VALUE(MID(B127,IF(LEFT(B127,2)="V-",3,5),30))),VALUE(MID(B127,IF(LEFT(B127,2)="V-",3,5),30))&gt;=0,MOD(VALUE(MID(B127,IF(LEFT(B127,2)="V-",3,5),30)),1)=0,COUNTIFS(Slots!$A$2:$A$31,"E2",Slots!$B$2:$B$31,C127)=1,ISNUMBER(SEARCH("|"&amp;D127&amp;"|","|"&amp;Settings!$B$9&amp;"|")),OR(E127="regular",E127="first"),OR(F127="include",F127="duplicate",F127="late"),OR(H127="yes",H127="no"),OR(I127="success",I127="failed",I127="unknown",I127="not_sent"),OR(K127="yes",K127="no",K127="none",K127="conflict",K127="unknown"),OR(L127="text",L127="emoji",L127="voice",L127="none",L127="unknown"),OR(M127="yes",M127="no",M127="unknown"),OR(N127="yes",N127="no",N127="unknown"),ISNUMBER(O127),OR(O127=0,O127=1),OR(P127="",P127="soft_yes",P127="forgot",P127="time_place",P127="clash",P127="travel",P127="personal",P127="unknown",P127="silent_but_came"),OR(I127&lt;&gt;"success",AND(J127&lt;&gt;"",COUNTIFS($J$2:$J$201,J127,$I$2:$I$201,"success")=1)),OR(I127&lt;&gt;"not_sent",J127=""),IF(F127="duplicate",AND(COUNTIFS($A$2:$A$201,G127,$B$2:$B$201,B127,$C$2:$C$201,C127,$F$2:$F$201,"include")=1,H127="no",I127="not_sent",K127="none",M127="no",N127="no",O127=0),AND(G127="",N127&lt;&gt;"unknown",COUNTIFS($B$2:$B$201,B127,$F$2:$F$201,"&lt;&gt;duplicate")=1)),IF(F127="include",AND(H127="yes",K127&lt;&gt;"conflict",K127&lt;&gt;"unknown",M127&lt;&gt;"unknown",IF(OR(K127="yes",K127="no"),AND(M127="yes",OR(L127="text",L127="emoji",L127="voice")),L127="none")),TRUE),IF(F127="late",AND(H127="no",I127="not_sent",K127="none",L127="none",O127=0),TRUE)),"OK","CHECK"),"CHECK"))</x:f>
      </x:c>
      <x:c r="R127" s="3"/>
    </x:row>
    <x:row r="128" ht="22" customHeight="1">
      <x:c r="A128" s="8"/>
      <x:c r="B128" s="8"/>
      <x:c r="C128" s="8"/>
      <x:c r="D128" s="8"/>
      <x:c r="E128" s="7"/>
      <x:c r="F128" s="7"/>
      <x:c r="G128" s="7"/>
      <x:c r="H128" s="7"/>
      <x:c r="I128" s="7"/>
      <x:c r="J128" s="8"/>
      <x:c r="K128" s="7"/>
      <x:c r="L128" s="7"/>
      <x:c r="M128" s="7"/>
      <x:c r="N128" s="7"/>
      <x:c r="O128" s="7"/>
      <x:c r="P128" s="7"/>
      <x:c r="Q128" s="3" t="str">
        <x:f>IF(COUNTA(A128:P128)=0,"",IFERROR(IF(AND(A128&lt;&gt;"",COUNTIF($A$2:$A$201,A128)=1,OR(LEFT(B128,2)="V-",LEFT(B128,4)="SYN-"),LEN(MID(B128,IF(LEFT(B128,2)="V-",3,5),30))&gt;0,ISNUMBER(VALUE(MID(B128,IF(LEFT(B128,2)="V-",3,5),30))),VALUE(MID(B128,IF(LEFT(B128,2)="V-",3,5),30))&gt;=0,MOD(VALUE(MID(B128,IF(LEFT(B128,2)="V-",3,5),30)),1)=0,COUNTIFS(Slots!$A$2:$A$31,"E2",Slots!$B$2:$B$31,C128)=1,ISNUMBER(SEARCH("|"&amp;D128&amp;"|","|"&amp;Settings!$B$9&amp;"|")),OR(E128="regular",E128="first"),OR(F128="include",F128="duplicate",F128="late"),OR(H128="yes",H128="no"),OR(I128="success",I128="failed",I128="unknown",I128="not_sent"),OR(K128="yes",K128="no",K128="none",K128="conflict",K128="unknown"),OR(L128="text",L128="emoji",L128="voice",L128="none",L128="unknown"),OR(M128="yes",M128="no",M128="unknown"),OR(N128="yes",N128="no",N128="unknown"),ISNUMBER(O128),OR(O128=0,O128=1),OR(P128="",P128="soft_yes",P128="forgot",P128="time_place",P128="clash",P128="travel",P128="personal",P128="unknown",P128="silent_but_came"),OR(I128&lt;&gt;"success",AND(J128&lt;&gt;"",COUNTIFS($J$2:$J$201,J128,$I$2:$I$201,"success")=1)),OR(I128&lt;&gt;"not_sent",J128=""),IF(F128="duplicate",AND(COUNTIFS($A$2:$A$201,G128,$B$2:$B$201,B128,$C$2:$C$201,C128,$F$2:$F$201,"include")=1,H128="no",I128="not_sent",K128="none",M128="no",N128="no",O128=0),AND(G128="",N128&lt;&gt;"unknown",COUNTIFS($B$2:$B$201,B128,$F$2:$F$201,"&lt;&gt;duplicate")=1)),IF(F128="include",AND(H128="yes",K128&lt;&gt;"conflict",K128&lt;&gt;"unknown",M128&lt;&gt;"unknown",IF(OR(K128="yes",K128="no"),AND(M128="yes",OR(L128="text",L128="emoji",L128="voice")),L128="none")),TRUE),IF(F128="late",AND(H128="no",I128="not_sent",K128="none",L128="none",O128=0),TRUE)),"OK","CHECK"),"CHECK"))</x:f>
      </x:c>
      <x:c r="R128" s="3"/>
    </x:row>
    <x:row r="129" ht="22" customHeight="1">
      <x:c r="A129" s="8"/>
      <x:c r="B129" s="8"/>
      <x:c r="C129" s="8"/>
      <x:c r="D129" s="8"/>
      <x:c r="E129" s="7"/>
      <x:c r="F129" s="7"/>
      <x:c r="G129" s="7"/>
      <x:c r="H129" s="7"/>
      <x:c r="I129" s="7"/>
      <x:c r="J129" s="8"/>
      <x:c r="K129" s="7"/>
      <x:c r="L129" s="7"/>
      <x:c r="M129" s="7"/>
      <x:c r="N129" s="7"/>
      <x:c r="O129" s="7"/>
      <x:c r="P129" s="7"/>
      <x:c r="Q129" s="3" t="str">
        <x:f>IF(COUNTA(A129:P129)=0,"",IFERROR(IF(AND(A129&lt;&gt;"",COUNTIF($A$2:$A$201,A129)=1,OR(LEFT(B129,2)="V-",LEFT(B129,4)="SYN-"),LEN(MID(B129,IF(LEFT(B129,2)="V-",3,5),30))&gt;0,ISNUMBER(VALUE(MID(B129,IF(LEFT(B129,2)="V-",3,5),30))),VALUE(MID(B129,IF(LEFT(B129,2)="V-",3,5),30))&gt;=0,MOD(VALUE(MID(B129,IF(LEFT(B129,2)="V-",3,5),30)),1)=0,COUNTIFS(Slots!$A$2:$A$31,"E2",Slots!$B$2:$B$31,C129)=1,ISNUMBER(SEARCH("|"&amp;D129&amp;"|","|"&amp;Settings!$B$9&amp;"|")),OR(E129="regular",E129="first"),OR(F129="include",F129="duplicate",F129="late"),OR(H129="yes",H129="no"),OR(I129="success",I129="failed",I129="unknown",I129="not_sent"),OR(K129="yes",K129="no",K129="none",K129="conflict",K129="unknown"),OR(L129="text",L129="emoji",L129="voice",L129="none",L129="unknown"),OR(M129="yes",M129="no",M129="unknown"),OR(N129="yes",N129="no",N129="unknown"),ISNUMBER(O129),OR(O129=0,O129=1),OR(P129="",P129="soft_yes",P129="forgot",P129="time_place",P129="clash",P129="travel",P129="personal",P129="unknown",P129="silent_but_came"),OR(I129&lt;&gt;"success",AND(J129&lt;&gt;"",COUNTIFS($J$2:$J$201,J129,$I$2:$I$201,"success")=1)),OR(I129&lt;&gt;"not_sent",J129=""),IF(F129="duplicate",AND(COUNTIFS($A$2:$A$201,G129,$B$2:$B$201,B129,$C$2:$C$201,C129,$F$2:$F$201,"include")=1,H129="no",I129="not_sent",K129="none",M129="no",N129="no",O129=0),AND(G129="",N129&lt;&gt;"unknown",COUNTIFS($B$2:$B$201,B129,$F$2:$F$201,"&lt;&gt;duplicate")=1)),IF(F129="include",AND(H129="yes",K129&lt;&gt;"conflict",K129&lt;&gt;"unknown",M129&lt;&gt;"unknown",IF(OR(K129="yes",K129="no"),AND(M129="yes",OR(L129="text",L129="emoji",L129="voice")),L129="none")),TRUE),IF(F129="late",AND(H129="no",I129="not_sent",K129="none",L129="none",O129=0),TRUE)),"OK","CHECK"),"CHECK"))</x:f>
      </x:c>
      <x:c r="R129" s="3"/>
    </x:row>
    <x:row r="130" ht="22" customHeight="1">
      <x:c r="A130" s="8"/>
      <x:c r="B130" s="8"/>
      <x:c r="C130" s="8"/>
      <x:c r="D130" s="8"/>
      <x:c r="E130" s="7"/>
      <x:c r="F130" s="7"/>
      <x:c r="G130" s="7"/>
      <x:c r="H130" s="7"/>
      <x:c r="I130" s="7"/>
      <x:c r="J130" s="8"/>
      <x:c r="K130" s="7"/>
      <x:c r="L130" s="7"/>
      <x:c r="M130" s="7"/>
      <x:c r="N130" s="7"/>
      <x:c r="O130" s="7"/>
      <x:c r="P130" s="7"/>
      <x:c r="Q130" s="3" t="str">
        <x:f>IF(COUNTA(A130:P130)=0,"",IFERROR(IF(AND(A130&lt;&gt;"",COUNTIF($A$2:$A$201,A130)=1,OR(LEFT(B130,2)="V-",LEFT(B130,4)="SYN-"),LEN(MID(B130,IF(LEFT(B130,2)="V-",3,5),30))&gt;0,ISNUMBER(VALUE(MID(B130,IF(LEFT(B130,2)="V-",3,5),30))),VALUE(MID(B130,IF(LEFT(B130,2)="V-",3,5),30))&gt;=0,MOD(VALUE(MID(B130,IF(LEFT(B130,2)="V-",3,5),30)),1)=0,COUNTIFS(Slots!$A$2:$A$31,"E2",Slots!$B$2:$B$31,C130)=1,ISNUMBER(SEARCH("|"&amp;D130&amp;"|","|"&amp;Settings!$B$9&amp;"|")),OR(E130="regular",E130="first"),OR(F130="include",F130="duplicate",F130="late"),OR(H130="yes",H130="no"),OR(I130="success",I130="failed",I130="unknown",I130="not_sent"),OR(K130="yes",K130="no",K130="none",K130="conflict",K130="unknown"),OR(L130="text",L130="emoji",L130="voice",L130="none",L130="unknown"),OR(M130="yes",M130="no",M130="unknown"),OR(N130="yes",N130="no",N130="unknown"),ISNUMBER(O130),OR(O130=0,O130=1),OR(P130="",P130="soft_yes",P130="forgot",P130="time_place",P130="clash",P130="travel",P130="personal",P130="unknown",P130="silent_but_came"),OR(I130&lt;&gt;"success",AND(J130&lt;&gt;"",COUNTIFS($J$2:$J$201,J130,$I$2:$I$201,"success")=1)),OR(I130&lt;&gt;"not_sent",J130=""),IF(F130="duplicate",AND(COUNTIFS($A$2:$A$201,G130,$B$2:$B$201,B130,$C$2:$C$201,C130,$F$2:$F$201,"include")=1,H130="no",I130="not_sent",K130="none",M130="no",N130="no",O130=0),AND(G130="",N130&lt;&gt;"unknown",COUNTIFS($B$2:$B$201,B130,$F$2:$F$201,"&lt;&gt;duplicate")=1)),IF(F130="include",AND(H130="yes",K130&lt;&gt;"conflict",K130&lt;&gt;"unknown",M130&lt;&gt;"unknown",IF(OR(K130="yes",K130="no"),AND(M130="yes",OR(L130="text",L130="emoji",L130="voice")),L130="none")),TRUE),IF(F130="late",AND(H130="no",I130="not_sent",K130="none",L130="none",O130=0),TRUE)),"OK","CHECK"),"CHECK"))</x:f>
      </x:c>
      <x:c r="R130" s="3"/>
    </x:row>
    <x:row r="131" ht="22" customHeight="1">
      <x:c r="A131" s="8"/>
      <x:c r="B131" s="8"/>
      <x:c r="C131" s="8"/>
      <x:c r="D131" s="8"/>
      <x:c r="E131" s="7"/>
      <x:c r="F131" s="7"/>
      <x:c r="G131" s="7"/>
      <x:c r="H131" s="7"/>
      <x:c r="I131" s="7"/>
      <x:c r="J131" s="8"/>
      <x:c r="K131" s="7"/>
      <x:c r="L131" s="7"/>
      <x:c r="M131" s="7"/>
      <x:c r="N131" s="7"/>
      <x:c r="O131" s="7"/>
      <x:c r="P131" s="7"/>
      <x:c r="Q131" s="3" t="str">
        <x:f>IF(COUNTA(A131:P131)=0,"",IFERROR(IF(AND(A131&lt;&gt;"",COUNTIF($A$2:$A$201,A131)=1,OR(LEFT(B131,2)="V-",LEFT(B131,4)="SYN-"),LEN(MID(B131,IF(LEFT(B131,2)="V-",3,5),30))&gt;0,ISNUMBER(VALUE(MID(B131,IF(LEFT(B131,2)="V-",3,5),30))),VALUE(MID(B131,IF(LEFT(B131,2)="V-",3,5),30))&gt;=0,MOD(VALUE(MID(B131,IF(LEFT(B131,2)="V-",3,5),30)),1)=0,COUNTIFS(Slots!$A$2:$A$31,"E2",Slots!$B$2:$B$31,C131)=1,ISNUMBER(SEARCH("|"&amp;D131&amp;"|","|"&amp;Settings!$B$9&amp;"|")),OR(E131="regular",E131="first"),OR(F131="include",F131="duplicate",F131="late"),OR(H131="yes",H131="no"),OR(I131="success",I131="failed",I131="unknown",I131="not_sent"),OR(K131="yes",K131="no",K131="none",K131="conflict",K131="unknown"),OR(L131="text",L131="emoji",L131="voice",L131="none",L131="unknown"),OR(M131="yes",M131="no",M131="unknown"),OR(N131="yes",N131="no",N131="unknown"),ISNUMBER(O131),OR(O131=0,O131=1),OR(P131="",P131="soft_yes",P131="forgot",P131="time_place",P131="clash",P131="travel",P131="personal",P131="unknown",P131="silent_but_came"),OR(I131&lt;&gt;"success",AND(J131&lt;&gt;"",COUNTIFS($J$2:$J$201,J131,$I$2:$I$201,"success")=1)),OR(I131&lt;&gt;"not_sent",J131=""),IF(F131="duplicate",AND(COUNTIFS($A$2:$A$201,G131,$B$2:$B$201,B131,$C$2:$C$201,C131,$F$2:$F$201,"include")=1,H131="no",I131="not_sent",K131="none",M131="no",N131="no",O131=0),AND(G131="",N131&lt;&gt;"unknown",COUNTIFS($B$2:$B$201,B131,$F$2:$F$201,"&lt;&gt;duplicate")=1)),IF(F131="include",AND(H131="yes",K131&lt;&gt;"conflict",K131&lt;&gt;"unknown",M131&lt;&gt;"unknown",IF(OR(K131="yes",K131="no"),AND(M131="yes",OR(L131="text",L131="emoji",L131="voice")),L131="none")),TRUE),IF(F131="late",AND(H131="no",I131="not_sent",K131="none",L131="none",O131=0),TRUE)),"OK","CHECK"),"CHECK"))</x:f>
      </x:c>
      <x:c r="R131" s="3"/>
    </x:row>
    <x:row r="132" ht="22" customHeight="1">
      <x:c r="A132" s="8"/>
      <x:c r="B132" s="8"/>
      <x:c r="C132" s="8"/>
      <x:c r="D132" s="8"/>
      <x:c r="E132" s="7"/>
      <x:c r="F132" s="7"/>
      <x:c r="G132" s="7"/>
      <x:c r="H132" s="7"/>
      <x:c r="I132" s="7"/>
      <x:c r="J132" s="8"/>
      <x:c r="K132" s="7"/>
      <x:c r="L132" s="7"/>
      <x:c r="M132" s="7"/>
      <x:c r="N132" s="7"/>
      <x:c r="O132" s="7"/>
      <x:c r="P132" s="7"/>
      <x:c r="Q132" s="3" t="str">
        <x:f>IF(COUNTA(A132:P132)=0,"",IFERROR(IF(AND(A132&lt;&gt;"",COUNTIF($A$2:$A$201,A132)=1,OR(LEFT(B132,2)="V-",LEFT(B132,4)="SYN-"),LEN(MID(B132,IF(LEFT(B132,2)="V-",3,5),30))&gt;0,ISNUMBER(VALUE(MID(B132,IF(LEFT(B132,2)="V-",3,5),30))),VALUE(MID(B132,IF(LEFT(B132,2)="V-",3,5),30))&gt;=0,MOD(VALUE(MID(B132,IF(LEFT(B132,2)="V-",3,5),30)),1)=0,COUNTIFS(Slots!$A$2:$A$31,"E2",Slots!$B$2:$B$31,C132)=1,ISNUMBER(SEARCH("|"&amp;D132&amp;"|","|"&amp;Settings!$B$9&amp;"|")),OR(E132="regular",E132="first"),OR(F132="include",F132="duplicate",F132="late"),OR(H132="yes",H132="no"),OR(I132="success",I132="failed",I132="unknown",I132="not_sent"),OR(K132="yes",K132="no",K132="none",K132="conflict",K132="unknown"),OR(L132="text",L132="emoji",L132="voice",L132="none",L132="unknown"),OR(M132="yes",M132="no",M132="unknown"),OR(N132="yes",N132="no",N132="unknown"),ISNUMBER(O132),OR(O132=0,O132=1),OR(P132="",P132="soft_yes",P132="forgot",P132="time_place",P132="clash",P132="travel",P132="personal",P132="unknown",P132="silent_but_came"),OR(I132&lt;&gt;"success",AND(J132&lt;&gt;"",COUNTIFS($J$2:$J$201,J132,$I$2:$I$201,"success")=1)),OR(I132&lt;&gt;"not_sent",J132=""),IF(F132="duplicate",AND(COUNTIFS($A$2:$A$201,G132,$B$2:$B$201,B132,$C$2:$C$201,C132,$F$2:$F$201,"include")=1,H132="no",I132="not_sent",K132="none",M132="no",N132="no",O132=0),AND(G132="",N132&lt;&gt;"unknown",COUNTIFS($B$2:$B$201,B132,$F$2:$F$201,"&lt;&gt;duplicate")=1)),IF(F132="include",AND(H132="yes",K132&lt;&gt;"conflict",K132&lt;&gt;"unknown",M132&lt;&gt;"unknown",IF(OR(K132="yes",K132="no"),AND(M132="yes",OR(L132="text",L132="emoji",L132="voice")),L132="none")),TRUE),IF(F132="late",AND(H132="no",I132="not_sent",K132="none",L132="none",O132=0),TRUE)),"OK","CHECK"),"CHECK"))</x:f>
      </x:c>
      <x:c r="R132" s="3"/>
    </x:row>
    <x:row r="133" ht="22" customHeight="1">
      <x:c r="A133" s="8"/>
      <x:c r="B133" s="8"/>
      <x:c r="C133" s="8"/>
      <x:c r="D133" s="8"/>
      <x:c r="E133" s="7"/>
      <x:c r="F133" s="7"/>
      <x:c r="G133" s="7"/>
      <x:c r="H133" s="7"/>
      <x:c r="I133" s="7"/>
      <x:c r="J133" s="8"/>
      <x:c r="K133" s="7"/>
      <x:c r="L133" s="7"/>
      <x:c r="M133" s="7"/>
      <x:c r="N133" s="7"/>
      <x:c r="O133" s="7"/>
      <x:c r="P133" s="7"/>
      <x:c r="Q133" s="3" t="str">
        <x:f>IF(COUNTA(A133:P133)=0,"",IFERROR(IF(AND(A133&lt;&gt;"",COUNTIF($A$2:$A$201,A133)=1,OR(LEFT(B133,2)="V-",LEFT(B133,4)="SYN-"),LEN(MID(B133,IF(LEFT(B133,2)="V-",3,5),30))&gt;0,ISNUMBER(VALUE(MID(B133,IF(LEFT(B133,2)="V-",3,5),30))),VALUE(MID(B133,IF(LEFT(B133,2)="V-",3,5),30))&gt;=0,MOD(VALUE(MID(B133,IF(LEFT(B133,2)="V-",3,5),30)),1)=0,COUNTIFS(Slots!$A$2:$A$31,"E2",Slots!$B$2:$B$31,C133)=1,ISNUMBER(SEARCH("|"&amp;D133&amp;"|","|"&amp;Settings!$B$9&amp;"|")),OR(E133="regular",E133="first"),OR(F133="include",F133="duplicate",F133="late"),OR(H133="yes",H133="no"),OR(I133="success",I133="failed",I133="unknown",I133="not_sent"),OR(K133="yes",K133="no",K133="none",K133="conflict",K133="unknown"),OR(L133="text",L133="emoji",L133="voice",L133="none",L133="unknown"),OR(M133="yes",M133="no",M133="unknown"),OR(N133="yes",N133="no",N133="unknown"),ISNUMBER(O133),OR(O133=0,O133=1),OR(P133="",P133="soft_yes",P133="forgot",P133="time_place",P133="clash",P133="travel",P133="personal",P133="unknown",P133="silent_but_came"),OR(I133&lt;&gt;"success",AND(J133&lt;&gt;"",COUNTIFS($J$2:$J$201,J133,$I$2:$I$201,"success")=1)),OR(I133&lt;&gt;"not_sent",J133=""),IF(F133="duplicate",AND(COUNTIFS($A$2:$A$201,G133,$B$2:$B$201,B133,$C$2:$C$201,C133,$F$2:$F$201,"include")=1,H133="no",I133="not_sent",K133="none",M133="no",N133="no",O133=0),AND(G133="",N133&lt;&gt;"unknown",COUNTIFS($B$2:$B$201,B133,$F$2:$F$201,"&lt;&gt;duplicate")=1)),IF(F133="include",AND(H133="yes",K133&lt;&gt;"conflict",K133&lt;&gt;"unknown",M133&lt;&gt;"unknown",IF(OR(K133="yes",K133="no"),AND(M133="yes",OR(L133="text",L133="emoji",L133="voice")),L133="none")),TRUE),IF(F133="late",AND(H133="no",I133="not_sent",K133="none",L133="none",O133=0),TRUE)),"OK","CHECK"),"CHECK"))</x:f>
      </x:c>
      <x:c r="R133" s="3"/>
    </x:row>
    <x:row r="134" ht="22" customHeight="1">
      <x:c r="A134" s="8"/>
      <x:c r="B134" s="8"/>
      <x:c r="C134" s="8"/>
      <x:c r="D134" s="8"/>
      <x:c r="E134" s="7"/>
      <x:c r="F134" s="7"/>
      <x:c r="G134" s="7"/>
      <x:c r="H134" s="7"/>
      <x:c r="I134" s="7"/>
      <x:c r="J134" s="8"/>
      <x:c r="K134" s="7"/>
      <x:c r="L134" s="7"/>
      <x:c r="M134" s="7"/>
      <x:c r="N134" s="7"/>
      <x:c r="O134" s="7"/>
      <x:c r="P134" s="7"/>
      <x:c r="Q134" s="3" t="str">
        <x:f>IF(COUNTA(A134:P134)=0,"",IFERROR(IF(AND(A134&lt;&gt;"",COUNTIF($A$2:$A$201,A134)=1,OR(LEFT(B134,2)="V-",LEFT(B134,4)="SYN-"),LEN(MID(B134,IF(LEFT(B134,2)="V-",3,5),30))&gt;0,ISNUMBER(VALUE(MID(B134,IF(LEFT(B134,2)="V-",3,5),30))),VALUE(MID(B134,IF(LEFT(B134,2)="V-",3,5),30))&gt;=0,MOD(VALUE(MID(B134,IF(LEFT(B134,2)="V-",3,5),30)),1)=0,COUNTIFS(Slots!$A$2:$A$31,"E2",Slots!$B$2:$B$31,C134)=1,ISNUMBER(SEARCH("|"&amp;D134&amp;"|","|"&amp;Settings!$B$9&amp;"|")),OR(E134="regular",E134="first"),OR(F134="include",F134="duplicate",F134="late"),OR(H134="yes",H134="no"),OR(I134="success",I134="failed",I134="unknown",I134="not_sent"),OR(K134="yes",K134="no",K134="none",K134="conflict",K134="unknown"),OR(L134="text",L134="emoji",L134="voice",L134="none",L134="unknown"),OR(M134="yes",M134="no",M134="unknown"),OR(N134="yes",N134="no",N134="unknown"),ISNUMBER(O134),OR(O134=0,O134=1),OR(P134="",P134="soft_yes",P134="forgot",P134="time_place",P134="clash",P134="travel",P134="personal",P134="unknown",P134="silent_but_came"),OR(I134&lt;&gt;"success",AND(J134&lt;&gt;"",COUNTIFS($J$2:$J$201,J134,$I$2:$I$201,"success")=1)),OR(I134&lt;&gt;"not_sent",J134=""),IF(F134="duplicate",AND(COUNTIFS($A$2:$A$201,G134,$B$2:$B$201,B134,$C$2:$C$201,C134,$F$2:$F$201,"include")=1,H134="no",I134="not_sent",K134="none",M134="no",N134="no",O134=0),AND(G134="",N134&lt;&gt;"unknown",COUNTIFS($B$2:$B$201,B134,$F$2:$F$201,"&lt;&gt;duplicate")=1)),IF(F134="include",AND(H134="yes",K134&lt;&gt;"conflict",K134&lt;&gt;"unknown",M134&lt;&gt;"unknown",IF(OR(K134="yes",K134="no"),AND(M134="yes",OR(L134="text",L134="emoji",L134="voice")),L134="none")),TRUE),IF(F134="late",AND(H134="no",I134="not_sent",K134="none",L134="none",O134=0),TRUE)),"OK","CHECK"),"CHECK"))</x:f>
      </x:c>
      <x:c r="R134" s="3"/>
    </x:row>
    <x:row r="135" ht="22" customHeight="1">
      <x:c r="A135" s="8"/>
      <x:c r="B135" s="8"/>
      <x:c r="C135" s="8"/>
      <x:c r="D135" s="8"/>
      <x:c r="E135" s="7"/>
      <x:c r="F135" s="7"/>
      <x:c r="G135" s="7"/>
      <x:c r="H135" s="7"/>
      <x:c r="I135" s="7"/>
      <x:c r="J135" s="8"/>
      <x:c r="K135" s="7"/>
      <x:c r="L135" s="7"/>
      <x:c r="M135" s="7"/>
      <x:c r="N135" s="7"/>
      <x:c r="O135" s="7"/>
      <x:c r="P135" s="7"/>
      <x:c r="Q135" s="3" t="str">
        <x:f>IF(COUNTA(A135:P135)=0,"",IFERROR(IF(AND(A135&lt;&gt;"",COUNTIF($A$2:$A$201,A135)=1,OR(LEFT(B135,2)="V-",LEFT(B135,4)="SYN-"),LEN(MID(B135,IF(LEFT(B135,2)="V-",3,5),30))&gt;0,ISNUMBER(VALUE(MID(B135,IF(LEFT(B135,2)="V-",3,5),30))),VALUE(MID(B135,IF(LEFT(B135,2)="V-",3,5),30))&gt;=0,MOD(VALUE(MID(B135,IF(LEFT(B135,2)="V-",3,5),30)),1)=0,COUNTIFS(Slots!$A$2:$A$31,"E2",Slots!$B$2:$B$31,C135)=1,ISNUMBER(SEARCH("|"&amp;D135&amp;"|","|"&amp;Settings!$B$9&amp;"|")),OR(E135="regular",E135="first"),OR(F135="include",F135="duplicate",F135="late"),OR(H135="yes",H135="no"),OR(I135="success",I135="failed",I135="unknown",I135="not_sent"),OR(K135="yes",K135="no",K135="none",K135="conflict",K135="unknown"),OR(L135="text",L135="emoji",L135="voice",L135="none",L135="unknown"),OR(M135="yes",M135="no",M135="unknown"),OR(N135="yes",N135="no",N135="unknown"),ISNUMBER(O135),OR(O135=0,O135=1),OR(P135="",P135="soft_yes",P135="forgot",P135="time_place",P135="clash",P135="travel",P135="personal",P135="unknown",P135="silent_but_came"),OR(I135&lt;&gt;"success",AND(J135&lt;&gt;"",COUNTIFS($J$2:$J$201,J135,$I$2:$I$201,"success")=1)),OR(I135&lt;&gt;"not_sent",J135=""),IF(F135="duplicate",AND(COUNTIFS($A$2:$A$201,G135,$B$2:$B$201,B135,$C$2:$C$201,C135,$F$2:$F$201,"include")=1,H135="no",I135="not_sent",K135="none",M135="no",N135="no",O135=0),AND(G135="",N135&lt;&gt;"unknown",COUNTIFS($B$2:$B$201,B135,$F$2:$F$201,"&lt;&gt;duplicate")=1)),IF(F135="include",AND(H135="yes",K135&lt;&gt;"conflict",K135&lt;&gt;"unknown",M135&lt;&gt;"unknown",IF(OR(K135="yes",K135="no"),AND(M135="yes",OR(L135="text",L135="emoji",L135="voice")),L135="none")),TRUE),IF(F135="late",AND(H135="no",I135="not_sent",K135="none",L135="none",O135=0),TRUE)),"OK","CHECK"),"CHECK"))</x:f>
      </x:c>
      <x:c r="R135" s="3"/>
    </x:row>
    <x:row r="136" ht="22" customHeight="1">
      <x:c r="A136" s="8"/>
      <x:c r="B136" s="8"/>
      <x:c r="C136" s="8"/>
      <x:c r="D136" s="8"/>
      <x:c r="E136" s="7"/>
      <x:c r="F136" s="7"/>
      <x:c r="G136" s="7"/>
      <x:c r="H136" s="7"/>
      <x:c r="I136" s="7"/>
      <x:c r="J136" s="8"/>
      <x:c r="K136" s="7"/>
      <x:c r="L136" s="7"/>
      <x:c r="M136" s="7"/>
      <x:c r="N136" s="7"/>
      <x:c r="O136" s="7"/>
      <x:c r="P136" s="7"/>
      <x:c r="Q136" s="3" t="str">
        <x:f>IF(COUNTA(A136:P136)=0,"",IFERROR(IF(AND(A136&lt;&gt;"",COUNTIF($A$2:$A$201,A136)=1,OR(LEFT(B136,2)="V-",LEFT(B136,4)="SYN-"),LEN(MID(B136,IF(LEFT(B136,2)="V-",3,5),30))&gt;0,ISNUMBER(VALUE(MID(B136,IF(LEFT(B136,2)="V-",3,5),30))),VALUE(MID(B136,IF(LEFT(B136,2)="V-",3,5),30))&gt;=0,MOD(VALUE(MID(B136,IF(LEFT(B136,2)="V-",3,5),30)),1)=0,COUNTIFS(Slots!$A$2:$A$31,"E2",Slots!$B$2:$B$31,C136)=1,ISNUMBER(SEARCH("|"&amp;D136&amp;"|","|"&amp;Settings!$B$9&amp;"|")),OR(E136="regular",E136="first"),OR(F136="include",F136="duplicate",F136="late"),OR(H136="yes",H136="no"),OR(I136="success",I136="failed",I136="unknown",I136="not_sent"),OR(K136="yes",K136="no",K136="none",K136="conflict",K136="unknown"),OR(L136="text",L136="emoji",L136="voice",L136="none",L136="unknown"),OR(M136="yes",M136="no",M136="unknown"),OR(N136="yes",N136="no",N136="unknown"),ISNUMBER(O136),OR(O136=0,O136=1),OR(P136="",P136="soft_yes",P136="forgot",P136="time_place",P136="clash",P136="travel",P136="personal",P136="unknown",P136="silent_but_came"),OR(I136&lt;&gt;"success",AND(J136&lt;&gt;"",COUNTIFS($J$2:$J$201,J136,$I$2:$I$201,"success")=1)),OR(I136&lt;&gt;"not_sent",J136=""),IF(F136="duplicate",AND(COUNTIFS($A$2:$A$201,G136,$B$2:$B$201,B136,$C$2:$C$201,C136,$F$2:$F$201,"include")=1,H136="no",I136="not_sent",K136="none",M136="no",N136="no",O136=0),AND(G136="",N136&lt;&gt;"unknown",COUNTIFS($B$2:$B$201,B136,$F$2:$F$201,"&lt;&gt;duplicate")=1)),IF(F136="include",AND(H136="yes",K136&lt;&gt;"conflict",K136&lt;&gt;"unknown",M136&lt;&gt;"unknown",IF(OR(K136="yes",K136="no"),AND(M136="yes",OR(L136="text",L136="emoji",L136="voice")),L136="none")),TRUE),IF(F136="late",AND(H136="no",I136="not_sent",K136="none",L136="none",O136=0),TRUE)),"OK","CHECK"),"CHECK"))</x:f>
      </x:c>
      <x:c r="R136" s="3"/>
    </x:row>
    <x:row r="137" ht="22" customHeight="1">
      <x:c r="A137" s="8"/>
      <x:c r="B137" s="8"/>
      <x:c r="C137" s="8"/>
      <x:c r="D137" s="8"/>
      <x:c r="E137" s="7"/>
      <x:c r="F137" s="7"/>
      <x:c r="G137" s="7"/>
      <x:c r="H137" s="7"/>
      <x:c r="I137" s="7"/>
      <x:c r="J137" s="8"/>
      <x:c r="K137" s="7"/>
      <x:c r="L137" s="7"/>
      <x:c r="M137" s="7"/>
      <x:c r="N137" s="7"/>
      <x:c r="O137" s="7"/>
      <x:c r="P137" s="7"/>
      <x:c r="Q137" s="3" t="str">
        <x:f>IF(COUNTA(A137:P137)=0,"",IFERROR(IF(AND(A137&lt;&gt;"",COUNTIF($A$2:$A$201,A137)=1,OR(LEFT(B137,2)="V-",LEFT(B137,4)="SYN-"),LEN(MID(B137,IF(LEFT(B137,2)="V-",3,5),30))&gt;0,ISNUMBER(VALUE(MID(B137,IF(LEFT(B137,2)="V-",3,5),30))),VALUE(MID(B137,IF(LEFT(B137,2)="V-",3,5),30))&gt;=0,MOD(VALUE(MID(B137,IF(LEFT(B137,2)="V-",3,5),30)),1)=0,COUNTIFS(Slots!$A$2:$A$31,"E2",Slots!$B$2:$B$31,C137)=1,ISNUMBER(SEARCH("|"&amp;D137&amp;"|","|"&amp;Settings!$B$9&amp;"|")),OR(E137="regular",E137="first"),OR(F137="include",F137="duplicate",F137="late"),OR(H137="yes",H137="no"),OR(I137="success",I137="failed",I137="unknown",I137="not_sent"),OR(K137="yes",K137="no",K137="none",K137="conflict",K137="unknown"),OR(L137="text",L137="emoji",L137="voice",L137="none",L137="unknown"),OR(M137="yes",M137="no",M137="unknown"),OR(N137="yes",N137="no",N137="unknown"),ISNUMBER(O137),OR(O137=0,O137=1),OR(P137="",P137="soft_yes",P137="forgot",P137="time_place",P137="clash",P137="travel",P137="personal",P137="unknown",P137="silent_but_came"),OR(I137&lt;&gt;"success",AND(J137&lt;&gt;"",COUNTIFS($J$2:$J$201,J137,$I$2:$I$201,"success")=1)),OR(I137&lt;&gt;"not_sent",J137=""),IF(F137="duplicate",AND(COUNTIFS($A$2:$A$201,G137,$B$2:$B$201,B137,$C$2:$C$201,C137,$F$2:$F$201,"include")=1,H137="no",I137="not_sent",K137="none",M137="no",N137="no",O137=0),AND(G137="",N137&lt;&gt;"unknown",COUNTIFS($B$2:$B$201,B137,$F$2:$F$201,"&lt;&gt;duplicate")=1)),IF(F137="include",AND(H137="yes",K137&lt;&gt;"conflict",K137&lt;&gt;"unknown",M137&lt;&gt;"unknown",IF(OR(K137="yes",K137="no"),AND(M137="yes",OR(L137="text",L137="emoji",L137="voice")),L137="none")),TRUE),IF(F137="late",AND(H137="no",I137="not_sent",K137="none",L137="none",O137=0),TRUE)),"OK","CHECK"),"CHECK"))</x:f>
      </x:c>
      <x:c r="R137" s="3"/>
    </x:row>
    <x:row r="138" ht="22" customHeight="1">
      <x:c r="A138" s="8"/>
      <x:c r="B138" s="8"/>
      <x:c r="C138" s="8"/>
      <x:c r="D138" s="8"/>
      <x:c r="E138" s="7"/>
      <x:c r="F138" s="7"/>
      <x:c r="G138" s="7"/>
      <x:c r="H138" s="7"/>
      <x:c r="I138" s="7"/>
      <x:c r="J138" s="8"/>
      <x:c r="K138" s="7"/>
      <x:c r="L138" s="7"/>
      <x:c r="M138" s="7"/>
      <x:c r="N138" s="7"/>
      <x:c r="O138" s="7"/>
      <x:c r="P138" s="7"/>
      <x:c r="Q138" s="3" t="str">
        <x:f>IF(COUNTA(A138:P138)=0,"",IFERROR(IF(AND(A138&lt;&gt;"",COUNTIF($A$2:$A$201,A138)=1,OR(LEFT(B138,2)="V-",LEFT(B138,4)="SYN-"),LEN(MID(B138,IF(LEFT(B138,2)="V-",3,5),30))&gt;0,ISNUMBER(VALUE(MID(B138,IF(LEFT(B138,2)="V-",3,5),30))),VALUE(MID(B138,IF(LEFT(B138,2)="V-",3,5),30))&gt;=0,MOD(VALUE(MID(B138,IF(LEFT(B138,2)="V-",3,5),30)),1)=0,COUNTIFS(Slots!$A$2:$A$31,"E2",Slots!$B$2:$B$31,C138)=1,ISNUMBER(SEARCH("|"&amp;D138&amp;"|","|"&amp;Settings!$B$9&amp;"|")),OR(E138="regular",E138="first"),OR(F138="include",F138="duplicate",F138="late"),OR(H138="yes",H138="no"),OR(I138="success",I138="failed",I138="unknown",I138="not_sent"),OR(K138="yes",K138="no",K138="none",K138="conflict",K138="unknown"),OR(L138="text",L138="emoji",L138="voice",L138="none",L138="unknown"),OR(M138="yes",M138="no",M138="unknown"),OR(N138="yes",N138="no",N138="unknown"),ISNUMBER(O138),OR(O138=0,O138=1),OR(P138="",P138="soft_yes",P138="forgot",P138="time_place",P138="clash",P138="travel",P138="personal",P138="unknown",P138="silent_but_came"),OR(I138&lt;&gt;"success",AND(J138&lt;&gt;"",COUNTIFS($J$2:$J$201,J138,$I$2:$I$201,"success")=1)),OR(I138&lt;&gt;"not_sent",J138=""),IF(F138="duplicate",AND(COUNTIFS($A$2:$A$201,G138,$B$2:$B$201,B138,$C$2:$C$201,C138,$F$2:$F$201,"include")=1,H138="no",I138="not_sent",K138="none",M138="no",N138="no",O138=0),AND(G138="",N138&lt;&gt;"unknown",COUNTIFS($B$2:$B$201,B138,$F$2:$F$201,"&lt;&gt;duplicate")=1)),IF(F138="include",AND(H138="yes",K138&lt;&gt;"conflict",K138&lt;&gt;"unknown",M138&lt;&gt;"unknown",IF(OR(K138="yes",K138="no"),AND(M138="yes",OR(L138="text",L138="emoji",L138="voice")),L138="none")),TRUE),IF(F138="late",AND(H138="no",I138="not_sent",K138="none",L138="none",O138=0),TRUE)),"OK","CHECK"),"CHECK"))</x:f>
      </x:c>
      <x:c r="R138" s="3"/>
    </x:row>
    <x:row r="139" ht="22" customHeight="1">
      <x:c r="A139" s="8"/>
      <x:c r="B139" s="8"/>
      <x:c r="C139" s="8"/>
      <x:c r="D139" s="8"/>
      <x:c r="E139" s="7"/>
      <x:c r="F139" s="7"/>
      <x:c r="G139" s="7"/>
      <x:c r="H139" s="7"/>
      <x:c r="I139" s="7"/>
      <x:c r="J139" s="8"/>
      <x:c r="K139" s="7"/>
      <x:c r="L139" s="7"/>
      <x:c r="M139" s="7"/>
      <x:c r="N139" s="7"/>
      <x:c r="O139" s="7"/>
      <x:c r="P139" s="7"/>
      <x:c r="Q139" s="3" t="str">
        <x:f>IF(COUNTA(A139:P139)=0,"",IFERROR(IF(AND(A139&lt;&gt;"",COUNTIF($A$2:$A$201,A139)=1,OR(LEFT(B139,2)="V-",LEFT(B139,4)="SYN-"),LEN(MID(B139,IF(LEFT(B139,2)="V-",3,5),30))&gt;0,ISNUMBER(VALUE(MID(B139,IF(LEFT(B139,2)="V-",3,5),30))),VALUE(MID(B139,IF(LEFT(B139,2)="V-",3,5),30))&gt;=0,MOD(VALUE(MID(B139,IF(LEFT(B139,2)="V-",3,5),30)),1)=0,COUNTIFS(Slots!$A$2:$A$31,"E2",Slots!$B$2:$B$31,C139)=1,ISNUMBER(SEARCH("|"&amp;D139&amp;"|","|"&amp;Settings!$B$9&amp;"|")),OR(E139="regular",E139="first"),OR(F139="include",F139="duplicate",F139="late"),OR(H139="yes",H139="no"),OR(I139="success",I139="failed",I139="unknown",I139="not_sent"),OR(K139="yes",K139="no",K139="none",K139="conflict",K139="unknown"),OR(L139="text",L139="emoji",L139="voice",L139="none",L139="unknown"),OR(M139="yes",M139="no",M139="unknown"),OR(N139="yes",N139="no",N139="unknown"),ISNUMBER(O139),OR(O139=0,O139=1),OR(P139="",P139="soft_yes",P139="forgot",P139="time_place",P139="clash",P139="travel",P139="personal",P139="unknown",P139="silent_but_came"),OR(I139&lt;&gt;"success",AND(J139&lt;&gt;"",COUNTIFS($J$2:$J$201,J139,$I$2:$I$201,"success")=1)),OR(I139&lt;&gt;"not_sent",J139=""),IF(F139="duplicate",AND(COUNTIFS($A$2:$A$201,G139,$B$2:$B$201,B139,$C$2:$C$201,C139,$F$2:$F$201,"include")=1,H139="no",I139="not_sent",K139="none",M139="no",N139="no",O139=0),AND(G139="",N139&lt;&gt;"unknown",COUNTIFS($B$2:$B$201,B139,$F$2:$F$201,"&lt;&gt;duplicate")=1)),IF(F139="include",AND(H139="yes",K139&lt;&gt;"conflict",K139&lt;&gt;"unknown",M139&lt;&gt;"unknown",IF(OR(K139="yes",K139="no"),AND(M139="yes",OR(L139="text",L139="emoji",L139="voice")),L139="none")),TRUE),IF(F139="late",AND(H139="no",I139="not_sent",K139="none",L139="none",O139=0),TRUE)),"OK","CHECK"),"CHECK"))</x:f>
      </x:c>
      <x:c r="R139" s="3"/>
    </x:row>
    <x:row r="140" ht="22" customHeight="1">
      <x:c r="A140" s="8"/>
      <x:c r="B140" s="8"/>
      <x:c r="C140" s="8"/>
      <x:c r="D140" s="8"/>
      <x:c r="E140" s="7"/>
      <x:c r="F140" s="7"/>
      <x:c r="G140" s="7"/>
      <x:c r="H140" s="7"/>
      <x:c r="I140" s="7"/>
      <x:c r="J140" s="8"/>
      <x:c r="K140" s="7"/>
      <x:c r="L140" s="7"/>
      <x:c r="M140" s="7"/>
      <x:c r="N140" s="7"/>
      <x:c r="O140" s="7"/>
      <x:c r="P140" s="7"/>
      <x:c r="Q140" s="3" t="str">
        <x:f>IF(COUNTA(A140:P140)=0,"",IFERROR(IF(AND(A140&lt;&gt;"",COUNTIF($A$2:$A$201,A140)=1,OR(LEFT(B140,2)="V-",LEFT(B140,4)="SYN-"),LEN(MID(B140,IF(LEFT(B140,2)="V-",3,5),30))&gt;0,ISNUMBER(VALUE(MID(B140,IF(LEFT(B140,2)="V-",3,5),30))),VALUE(MID(B140,IF(LEFT(B140,2)="V-",3,5),30))&gt;=0,MOD(VALUE(MID(B140,IF(LEFT(B140,2)="V-",3,5),30)),1)=0,COUNTIFS(Slots!$A$2:$A$31,"E2",Slots!$B$2:$B$31,C140)=1,ISNUMBER(SEARCH("|"&amp;D140&amp;"|","|"&amp;Settings!$B$9&amp;"|")),OR(E140="regular",E140="first"),OR(F140="include",F140="duplicate",F140="late"),OR(H140="yes",H140="no"),OR(I140="success",I140="failed",I140="unknown",I140="not_sent"),OR(K140="yes",K140="no",K140="none",K140="conflict",K140="unknown"),OR(L140="text",L140="emoji",L140="voice",L140="none",L140="unknown"),OR(M140="yes",M140="no",M140="unknown"),OR(N140="yes",N140="no",N140="unknown"),ISNUMBER(O140),OR(O140=0,O140=1),OR(P140="",P140="soft_yes",P140="forgot",P140="time_place",P140="clash",P140="travel",P140="personal",P140="unknown",P140="silent_but_came"),OR(I140&lt;&gt;"success",AND(J140&lt;&gt;"",COUNTIFS($J$2:$J$201,J140,$I$2:$I$201,"success")=1)),OR(I140&lt;&gt;"not_sent",J140=""),IF(F140="duplicate",AND(COUNTIFS($A$2:$A$201,G140,$B$2:$B$201,B140,$C$2:$C$201,C140,$F$2:$F$201,"include")=1,H140="no",I140="not_sent",K140="none",M140="no",N140="no",O140=0),AND(G140="",N140&lt;&gt;"unknown",COUNTIFS($B$2:$B$201,B140,$F$2:$F$201,"&lt;&gt;duplicate")=1)),IF(F140="include",AND(H140="yes",K140&lt;&gt;"conflict",K140&lt;&gt;"unknown",M140&lt;&gt;"unknown",IF(OR(K140="yes",K140="no"),AND(M140="yes",OR(L140="text",L140="emoji",L140="voice")),L140="none")),TRUE),IF(F140="late",AND(H140="no",I140="not_sent",K140="none",L140="none",O140=0),TRUE)),"OK","CHECK"),"CHECK"))</x:f>
      </x:c>
      <x:c r="R140" s="3"/>
    </x:row>
    <x:row r="141" ht="22" customHeight="1">
      <x:c r="A141" s="8"/>
      <x:c r="B141" s="8"/>
      <x:c r="C141" s="8"/>
      <x:c r="D141" s="8"/>
      <x:c r="E141" s="7"/>
      <x:c r="F141" s="7"/>
      <x:c r="G141" s="7"/>
      <x:c r="H141" s="7"/>
      <x:c r="I141" s="7"/>
      <x:c r="J141" s="8"/>
      <x:c r="K141" s="7"/>
      <x:c r="L141" s="7"/>
      <x:c r="M141" s="7"/>
      <x:c r="N141" s="7"/>
      <x:c r="O141" s="7"/>
      <x:c r="P141" s="7"/>
      <x:c r="Q141" s="3" t="str">
        <x:f>IF(COUNTA(A141:P141)=0,"",IFERROR(IF(AND(A141&lt;&gt;"",COUNTIF($A$2:$A$201,A141)=1,OR(LEFT(B141,2)="V-",LEFT(B141,4)="SYN-"),LEN(MID(B141,IF(LEFT(B141,2)="V-",3,5),30))&gt;0,ISNUMBER(VALUE(MID(B141,IF(LEFT(B141,2)="V-",3,5),30))),VALUE(MID(B141,IF(LEFT(B141,2)="V-",3,5),30))&gt;=0,MOD(VALUE(MID(B141,IF(LEFT(B141,2)="V-",3,5),30)),1)=0,COUNTIFS(Slots!$A$2:$A$31,"E2",Slots!$B$2:$B$31,C141)=1,ISNUMBER(SEARCH("|"&amp;D141&amp;"|","|"&amp;Settings!$B$9&amp;"|")),OR(E141="regular",E141="first"),OR(F141="include",F141="duplicate",F141="late"),OR(H141="yes",H141="no"),OR(I141="success",I141="failed",I141="unknown",I141="not_sent"),OR(K141="yes",K141="no",K141="none",K141="conflict",K141="unknown"),OR(L141="text",L141="emoji",L141="voice",L141="none",L141="unknown"),OR(M141="yes",M141="no",M141="unknown"),OR(N141="yes",N141="no",N141="unknown"),ISNUMBER(O141),OR(O141=0,O141=1),OR(P141="",P141="soft_yes",P141="forgot",P141="time_place",P141="clash",P141="travel",P141="personal",P141="unknown",P141="silent_but_came"),OR(I141&lt;&gt;"success",AND(J141&lt;&gt;"",COUNTIFS($J$2:$J$201,J141,$I$2:$I$201,"success")=1)),OR(I141&lt;&gt;"not_sent",J141=""),IF(F141="duplicate",AND(COUNTIFS($A$2:$A$201,G141,$B$2:$B$201,B141,$C$2:$C$201,C141,$F$2:$F$201,"include")=1,H141="no",I141="not_sent",K141="none",M141="no",N141="no",O141=0),AND(G141="",N141&lt;&gt;"unknown",COUNTIFS($B$2:$B$201,B141,$F$2:$F$201,"&lt;&gt;duplicate")=1)),IF(F141="include",AND(H141="yes",K141&lt;&gt;"conflict",K141&lt;&gt;"unknown",M141&lt;&gt;"unknown",IF(OR(K141="yes",K141="no"),AND(M141="yes",OR(L141="text",L141="emoji",L141="voice")),L141="none")),TRUE),IF(F141="late",AND(H141="no",I141="not_sent",K141="none",L141="none",O141=0),TRUE)),"OK","CHECK"),"CHECK"))</x:f>
      </x:c>
      <x:c r="R141" s="3"/>
    </x:row>
    <x:row r="142" ht="22" customHeight="1">
      <x:c r="A142" s="8"/>
      <x:c r="B142" s="8"/>
      <x:c r="C142" s="8"/>
      <x:c r="D142" s="8"/>
      <x:c r="E142" s="7"/>
      <x:c r="F142" s="7"/>
      <x:c r="G142" s="7"/>
      <x:c r="H142" s="7"/>
      <x:c r="I142" s="7"/>
      <x:c r="J142" s="8"/>
      <x:c r="K142" s="7"/>
      <x:c r="L142" s="7"/>
      <x:c r="M142" s="7"/>
      <x:c r="N142" s="7"/>
      <x:c r="O142" s="7"/>
      <x:c r="P142" s="7"/>
      <x:c r="Q142" s="3" t="str">
        <x:f>IF(COUNTA(A142:P142)=0,"",IFERROR(IF(AND(A142&lt;&gt;"",COUNTIF($A$2:$A$201,A142)=1,OR(LEFT(B142,2)="V-",LEFT(B142,4)="SYN-"),LEN(MID(B142,IF(LEFT(B142,2)="V-",3,5),30))&gt;0,ISNUMBER(VALUE(MID(B142,IF(LEFT(B142,2)="V-",3,5),30))),VALUE(MID(B142,IF(LEFT(B142,2)="V-",3,5),30))&gt;=0,MOD(VALUE(MID(B142,IF(LEFT(B142,2)="V-",3,5),30)),1)=0,COUNTIFS(Slots!$A$2:$A$31,"E2",Slots!$B$2:$B$31,C142)=1,ISNUMBER(SEARCH("|"&amp;D142&amp;"|","|"&amp;Settings!$B$9&amp;"|")),OR(E142="regular",E142="first"),OR(F142="include",F142="duplicate",F142="late"),OR(H142="yes",H142="no"),OR(I142="success",I142="failed",I142="unknown",I142="not_sent"),OR(K142="yes",K142="no",K142="none",K142="conflict",K142="unknown"),OR(L142="text",L142="emoji",L142="voice",L142="none",L142="unknown"),OR(M142="yes",M142="no",M142="unknown"),OR(N142="yes",N142="no",N142="unknown"),ISNUMBER(O142),OR(O142=0,O142=1),OR(P142="",P142="soft_yes",P142="forgot",P142="time_place",P142="clash",P142="travel",P142="personal",P142="unknown",P142="silent_but_came"),OR(I142&lt;&gt;"success",AND(J142&lt;&gt;"",COUNTIFS($J$2:$J$201,J142,$I$2:$I$201,"success")=1)),OR(I142&lt;&gt;"not_sent",J142=""),IF(F142="duplicate",AND(COUNTIFS($A$2:$A$201,G142,$B$2:$B$201,B142,$C$2:$C$201,C142,$F$2:$F$201,"include")=1,H142="no",I142="not_sent",K142="none",M142="no",N142="no",O142=0),AND(G142="",N142&lt;&gt;"unknown",COUNTIFS($B$2:$B$201,B142,$F$2:$F$201,"&lt;&gt;duplicate")=1)),IF(F142="include",AND(H142="yes",K142&lt;&gt;"conflict",K142&lt;&gt;"unknown",M142&lt;&gt;"unknown",IF(OR(K142="yes",K142="no"),AND(M142="yes",OR(L142="text",L142="emoji",L142="voice")),L142="none")),TRUE),IF(F142="late",AND(H142="no",I142="not_sent",K142="none",L142="none",O142=0),TRUE)),"OK","CHECK"),"CHECK"))</x:f>
      </x:c>
      <x:c r="R142" s="3"/>
    </x:row>
    <x:row r="143" ht="22" customHeight="1">
      <x:c r="A143" s="8"/>
      <x:c r="B143" s="8"/>
      <x:c r="C143" s="8"/>
      <x:c r="D143" s="8"/>
      <x:c r="E143" s="7"/>
      <x:c r="F143" s="7"/>
      <x:c r="G143" s="7"/>
      <x:c r="H143" s="7"/>
      <x:c r="I143" s="7"/>
      <x:c r="J143" s="8"/>
      <x:c r="K143" s="7"/>
      <x:c r="L143" s="7"/>
      <x:c r="M143" s="7"/>
      <x:c r="N143" s="7"/>
      <x:c r="O143" s="7"/>
      <x:c r="P143" s="7"/>
      <x:c r="Q143" s="3" t="str">
        <x:f>IF(COUNTA(A143:P143)=0,"",IFERROR(IF(AND(A143&lt;&gt;"",COUNTIF($A$2:$A$201,A143)=1,OR(LEFT(B143,2)="V-",LEFT(B143,4)="SYN-"),LEN(MID(B143,IF(LEFT(B143,2)="V-",3,5),30))&gt;0,ISNUMBER(VALUE(MID(B143,IF(LEFT(B143,2)="V-",3,5),30))),VALUE(MID(B143,IF(LEFT(B143,2)="V-",3,5),30))&gt;=0,MOD(VALUE(MID(B143,IF(LEFT(B143,2)="V-",3,5),30)),1)=0,COUNTIFS(Slots!$A$2:$A$31,"E2",Slots!$B$2:$B$31,C143)=1,ISNUMBER(SEARCH("|"&amp;D143&amp;"|","|"&amp;Settings!$B$9&amp;"|")),OR(E143="regular",E143="first"),OR(F143="include",F143="duplicate",F143="late"),OR(H143="yes",H143="no"),OR(I143="success",I143="failed",I143="unknown",I143="not_sent"),OR(K143="yes",K143="no",K143="none",K143="conflict",K143="unknown"),OR(L143="text",L143="emoji",L143="voice",L143="none",L143="unknown"),OR(M143="yes",M143="no",M143="unknown"),OR(N143="yes",N143="no",N143="unknown"),ISNUMBER(O143),OR(O143=0,O143=1),OR(P143="",P143="soft_yes",P143="forgot",P143="time_place",P143="clash",P143="travel",P143="personal",P143="unknown",P143="silent_but_came"),OR(I143&lt;&gt;"success",AND(J143&lt;&gt;"",COUNTIFS($J$2:$J$201,J143,$I$2:$I$201,"success")=1)),OR(I143&lt;&gt;"not_sent",J143=""),IF(F143="duplicate",AND(COUNTIFS($A$2:$A$201,G143,$B$2:$B$201,B143,$C$2:$C$201,C143,$F$2:$F$201,"include")=1,H143="no",I143="not_sent",K143="none",M143="no",N143="no",O143=0),AND(G143="",N143&lt;&gt;"unknown",COUNTIFS($B$2:$B$201,B143,$F$2:$F$201,"&lt;&gt;duplicate")=1)),IF(F143="include",AND(H143="yes",K143&lt;&gt;"conflict",K143&lt;&gt;"unknown",M143&lt;&gt;"unknown",IF(OR(K143="yes",K143="no"),AND(M143="yes",OR(L143="text",L143="emoji",L143="voice")),L143="none")),TRUE),IF(F143="late",AND(H143="no",I143="not_sent",K143="none",L143="none",O143=0),TRUE)),"OK","CHECK"),"CHECK"))</x:f>
      </x:c>
      <x:c r="R143" s="3"/>
    </x:row>
    <x:row r="144" ht="22" customHeight="1">
      <x:c r="A144" s="8"/>
      <x:c r="B144" s="8"/>
      <x:c r="C144" s="8"/>
      <x:c r="D144" s="8"/>
      <x:c r="E144" s="7"/>
      <x:c r="F144" s="7"/>
      <x:c r="G144" s="7"/>
      <x:c r="H144" s="7"/>
      <x:c r="I144" s="7"/>
      <x:c r="J144" s="8"/>
      <x:c r="K144" s="7"/>
      <x:c r="L144" s="7"/>
      <x:c r="M144" s="7"/>
      <x:c r="N144" s="7"/>
      <x:c r="O144" s="7"/>
      <x:c r="P144" s="7"/>
      <x:c r="Q144" s="3" t="str">
        <x:f>IF(COUNTA(A144:P144)=0,"",IFERROR(IF(AND(A144&lt;&gt;"",COUNTIF($A$2:$A$201,A144)=1,OR(LEFT(B144,2)="V-",LEFT(B144,4)="SYN-"),LEN(MID(B144,IF(LEFT(B144,2)="V-",3,5),30))&gt;0,ISNUMBER(VALUE(MID(B144,IF(LEFT(B144,2)="V-",3,5),30))),VALUE(MID(B144,IF(LEFT(B144,2)="V-",3,5),30))&gt;=0,MOD(VALUE(MID(B144,IF(LEFT(B144,2)="V-",3,5),30)),1)=0,COUNTIFS(Slots!$A$2:$A$31,"E2",Slots!$B$2:$B$31,C144)=1,ISNUMBER(SEARCH("|"&amp;D144&amp;"|","|"&amp;Settings!$B$9&amp;"|")),OR(E144="regular",E144="first"),OR(F144="include",F144="duplicate",F144="late"),OR(H144="yes",H144="no"),OR(I144="success",I144="failed",I144="unknown",I144="not_sent"),OR(K144="yes",K144="no",K144="none",K144="conflict",K144="unknown"),OR(L144="text",L144="emoji",L144="voice",L144="none",L144="unknown"),OR(M144="yes",M144="no",M144="unknown"),OR(N144="yes",N144="no",N144="unknown"),ISNUMBER(O144),OR(O144=0,O144=1),OR(P144="",P144="soft_yes",P144="forgot",P144="time_place",P144="clash",P144="travel",P144="personal",P144="unknown",P144="silent_but_came"),OR(I144&lt;&gt;"success",AND(J144&lt;&gt;"",COUNTIFS($J$2:$J$201,J144,$I$2:$I$201,"success")=1)),OR(I144&lt;&gt;"not_sent",J144=""),IF(F144="duplicate",AND(COUNTIFS($A$2:$A$201,G144,$B$2:$B$201,B144,$C$2:$C$201,C144,$F$2:$F$201,"include")=1,H144="no",I144="not_sent",K144="none",M144="no",N144="no",O144=0),AND(G144="",N144&lt;&gt;"unknown",COUNTIFS($B$2:$B$201,B144,$F$2:$F$201,"&lt;&gt;duplicate")=1)),IF(F144="include",AND(H144="yes",K144&lt;&gt;"conflict",K144&lt;&gt;"unknown",M144&lt;&gt;"unknown",IF(OR(K144="yes",K144="no"),AND(M144="yes",OR(L144="text",L144="emoji",L144="voice")),L144="none")),TRUE),IF(F144="late",AND(H144="no",I144="not_sent",K144="none",L144="none",O144=0),TRUE)),"OK","CHECK"),"CHECK"))</x:f>
      </x:c>
      <x:c r="R144" s="3"/>
    </x:row>
    <x:row r="145" ht="22" customHeight="1">
      <x:c r="A145" s="8"/>
      <x:c r="B145" s="8"/>
      <x:c r="C145" s="8"/>
      <x:c r="D145" s="8"/>
      <x:c r="E145" s="7"/>
      <x:c r="F145" s="7"/>
      <x:c r="G145" s="7"/>
      <x:c r="H145" s="7"/>
      <x:c r="I145" s="7"/>
      <x:c r="J145" s="8"/>
      <x:c r="K145" s="7"/>
      <x:c r="L145" s="7"/>
      <x:c r="M145" s="7"/>
      <x:c r="N145" s="7"/>
      <x:c r="O145" s="7"/>
      <x:c r="P145" s="7"/>
      <x:c r="Q145" s="3" t="str">
        <x:f>IF(COUNTA(A145:P145)=0,"",IFERROR(IF(AND(A145&lt;&gt;"",COUNTIF($A$2:$A$201,A145)=1,OR(LEFT(B145,2)="V-",LEFT(B145,4)="SYN-"),LEN(MID(B145,IF(LEFT(B145,2)="V-",3,5),30))&gt;0,ISNUMBER(VALUE(MID(B145,IF(LEFT(B145,2)="V-",3,5),30))),VALUE(MID(B145,IF(LEFT(B145,2)="V-",3,5),30))&gt;=0,MOD(VALUE(MID(B145,IF(LEFT(B145,2)="V-",3,5),30)),1)=0,COUNTIFS(Slots!$A$2:$A$31,"E2",Slots!$B$2:$B$31,C145)=1,ISNUMBER(SEARCH("|"&amp;D145&amp;"|","|"&amp;Settings!$B$9&amp;"|")),OR(E145="regular",E145="first"),OR(F145="include",F145="duplicate",F145="late"),OR(H145="yes",H145="no"),OR(I145="success",I145="failed",I145="unknown",I145="not_sent"),OR(K145="yes",K145="no",K145="none",K145="conflict",K145="unknown"),OR(L145="text",L145="emoji",L145="voice",L145="none",L145="unknown"),OR(M145="yes",M145="no",M145="unknown"),OR(N145="yes",N145="no",N145="unknown"),ISNUMBER(O145),OR(O145=0,O145=1),OR(P145="",P145="soft_yes",P145="forgot",P145="time_place",P145="clash",P145="travel",P145="personal",P145="unknown",P145="silent_but_came"),OR(I145&lt;&gt;"success",AND(J145&lt;&gt;"",COUNTIFS($J$2:$J$201,J145,$I$2:$I$201,"success")=1)),OR(I145&lt;&gt;"not_sent",J145=""),IF(F145="duplicate",AND(COUNTIFS($A$2:$A$201,G145,$B$2:$B$201,B145,$C$2:$C$201,C145,$F$2:$F$201,"include")=1,H145="no",I145="not_sent",K145="none",M145="no",N145="no",O145=0),AND(G145="",N145&lt;&gt;"unknown",COUNTIFS($B$2:$B$201,B145,$F$2:$F$201,"&lt;&gt;duplicate")=1)),IF(F145="include",AND(H145="yes",K145&lt;&gt;"conflict",K145&lt;&gt;"unknown",M145&lt;&gt;"unknown",IF(OR(K145="yes",K145="no"),AND(M145="yes",OR(L145="text",L145="emoji",L145="voice")),L145="none")),TRUE),IF(F145="late",AND(H145="no",I145="not_sent",K145="none",L145="none",O145=0),TRUE)),"OK","CHECK"),"CHECK"))</x:f>
      </x:c>
      <x:c r="R145" s="3"/>
    </x:row>
    <x:row r="146" ht="22" customHeight="1">
      <x:c r="A146" s="8"/>
      <x:c r="B146" s="8"/>
      <x:c r="C146" s="8"/>
      <x:c r="D146" s="8"/>
      <x:c r="E146" s="7"/>
      <x:c r="F146" s="7"/>
      <x:c r="G146" s="7"/>
      <x:c r="H146" s="7"/>
      <x:c r="I146" s="7"/>
      <x:c r="J146" s="8"/>
      <x:c r="K146" s="7"/>
      <x:c r="L146" s="7"/>
      <x:c r="M146" s="7"/>
      <x:c r="N146" s="7"/>
      <x:c r="O146" s="7"/>
      <x:c r="P146" s="7"/>
      <x:c r="Q146" s="3" t="str">
        <x:f>IF(COUNTA(A146:P146)=0,"",IFERROR(IF(AND(A146&lt;&gt;"",COUNTIF($A$2:$A$201,A146)=1,OR(LEFT(B146,2)="V-",LEFT(B146,4)="SYN-"),LEN(MID(B146,IF(LEFT(B146,2)="V-",3,5),30))&gt;0,ISNUMBER(VALUE(MID(B146,IF(LEFT(B146,2)="V-",3,5),30))),VALUE(MID(B146,IF(LEFT(B146,2)="V-",3,5),30))&gt;=0,MOD(VALUE(MID(B146,IF(LEFT(B146,2)="V-",3,5),30)),1)=0,COUNTIFS(Slots!$A$2:$A$31,"E2",Slots!$B$2:$B$31,C146)=1,ISNUMBER(SEARCH("|"&amp;D146&amp;"|","|"&amp;Settings!$B$9&amp;"|")),OR(E146="regular",E146="first"),OR(F146="include",F146="duplicate",F146="late"),OR(H146="yes",H146="no"),OR(I146="success",I146="failed",I146="unknown",I146="not_sent"),OR(K146="yes",K146="no",K146="none",K146="conflict",K146="unknown"),OR(L146="text",L146="emoji",L146="voice",L146="none",L146="unknown"),OR(M146="yes",M146="no",M146="unknown"),OR(N146="yes",N146="no",N146="unknown"),ISNUMBER(O146),OR(O146=0,O146=1),OR(P146="",P146="soft_yes",P146="forgot",P146="time_place",P146="clash",P146="travel",P146="personal",P146="unknown",P146="silent_but_came"),OR(I146&lt;&gt;"success",AND(J146&lt;&gt;"",COUNTIFS($J$2:$J$201,J146,$I$2:$I$201,"success")=1)),OR(I146&lt;&gt;"not_sent",J146=""),IF(F146="duplicate",AND(COUNTIFS($A$2:$A$201,G146,$B$2:$B$201,B146,$C$2:$C$201,C146,$F$2:$F$201,"include")=1,H146="no",I146="not_sent",K146="none",M146="no",N146="no",O146=0),AND(G146="",N146&lt;&gt;"unknown",COUNTIFS($B$2:$B$201,B146,$F$2:$F$201,"&lt;&gt;duplicate")=1)),IF(F146="include",AND(H146="yes",K146&lt;&gt;"conflict",K146&lt;&gt;"unknown",M146&lt;&gt;"unknown",IF(OR(K146="yes",K146="no"),AND(M146="yes",OR(L146="text",L146="emoji",L146="voice")),L146="none")),TRUE),IF(F146="late",AND(H146="no",I146="not_sent",K146="none",L146="none",O146=0),TRUE)),"OK","CHECK"),"CHECK"))</x:f>
      </x:c>
      <x:c r="R146" s="3"/>
    </x:row>
    <x:row r="147" ht="22" customHeight="1">
      <x:c r="A147" s="8"/>
      <x:c r="B147" s="8"/>
      <x:c r="C147" s="8"/>
      <x:c r="D147" s="8"/>
      <x:c r="E147" s="7"/>
      <x:c r="F147" s="7"/>
      <x:c r="G147" s="7"/>
      <x:c r="H147" s="7"/>
      <x:c r="I147" s="7"/>
      <x:c r="J147" s="8"/>
      <x:c r="K147" s="7"/>
      <x:c r="L147" s="7"/>
      <x:c r="M147" s="7"/>
      <x:c r="N147" s="7"/>
      <x:c r="O147" s="7"/>
      <x:c r="P147" s="7"/>
      <x:c r="Q147" s="3" t="str">
        <x:f>IF(COUNTA(A147:P147)=0,"",IFERROR(IF(AND(A147&lt;&gt;"",COUNTIF($A$2:$A$201,A147)=1,OR(LEFT(B147,2)="V-",LEFT(B147,4)="SYN-"),LEN(MID(B147,IF(LEFT(B147,2)="V-",3,5),30))&gt;0,ISNUMBER(VALUE(MID(B147,IF(LEFT(B147,2)="V-",3,5),30))),VALUE(MID(B147,IF(LEFT(B147,2)="V-",3,5),30))&gt;=0,MOD(VALUE(MID(B147,IF(LEFT(B147,2)="V-",3,5),30)),1)=0,COUNTIFS(Slots!$A$2:$A$31,"E2",Slots!$B$2:$B$31,C147)=1,ISNUMBER(SEARCH("|"&amp;D147&amp;"|","|"&amp;Settings!$B$9&amp;"|")),OR(E147="regular",E147="first"),OR(F147="include",F147="duplicate",F147="late"),OR(H147="yes",H147="no"),OR(I147="success",I147="failed",I147="unknown",I147="not_sent"),OR(K147="yes",K147="no",K147="none",K147="conflict",K147="unknown"),OR(L147="text",L147="emoji",L147="voice",L147="none",L147="unknown"),OR(M147="yes",M147="no",M147="unknown"),OR(N147="yes",N147="no",N147="unknown"),ISNUMBER(O147),OR(O147=0,O147=1),OR(P147="",P147="soft_yes",P147="forgot",P147="time_place",P147="clash",P147="travel",P147="personal",P147="unknown",P147="silent_but_came"),OR(I147&lt;&gt;"success",AND(J147&lt;&gt;"",COUNTIFS($J$2:$J$201,J147,$I$2:$I$201,"success")=1)),OR(I147&lt;&gt;"not_sent",J147=""),IF(F147="duplicate",AND(COUNTIFS($A$2:$A$201,G147,$B$2:$B$201,B147,$C$2:$C$201,C147,$F$2:$F$201,"include")=1,H147="no",I147="not_sent",K147="none",M147="no",N147="no",O147=0),AND(G147="",N147&lt;&gt;"unknown",COUNTIFS($B$2:$B$201,B147,$F$2:$F$201,"&lt;&gt;duplicate")=1)),IF(F147="include",AND(H147="yes",K147&lt;&gt;"conflict",K147&lt;&gt;"unknown",M147&lt;&gt;"unknown",IF(OR(K147="yes",K147="no"),AND(M147="yes",OR(L147="text",L147="emoji",L147="voice")),L147="none")),TRUE),IF(F147="late",AND(H147="no",I147="not_sent",K147="none",L147="none",O147=0),TRUE)),"OK","CHECK"),"CHECK"))</x:f>
      </x:c>
      <x:c r="R147" s="3"/>
    </x:row>
    <x:row r="148" ht="22" customHeight="1">
      <x:c r="A148" s="8"/>
      <x:c r="B148" s="8"/>
      <x:c r="C148" s="8"/>
      <x:c r="D148" s="8"/>
      <x:c r="E148" s="7"/>
      <x:c r="F148" s="7"/>
      <x:c r="G148" s="7"/>
      <x:c r="H148" s="7"/>
      <x:c r="I148" s="7"/>
      <x:c r="J148" s="8"/>
      <x:c r="K148" s="7"/>
      <x:c r="L148" s="7"/>
      <x:c r="M148" s="7"/>
      <x:c r="N148" s="7"/>
      <x:c r="O148" s="7"/>
      <x:c r="P148" s="7"/>
      <x:c r="Q148" s="3" t="str">
        <x:f>IF(COUNTA(A148:P148)=0,"",IFERROR(IF(AND(A148&lt;&gt;"",COUNTIF($A$2:$A$201,A148)=1,OR(LEFT(B148,2)="V-",LEFT(B148,4)="SYN-"),LEN(MID(B148,IF(LEFT(B148,2)="V-",3,5),30))&gt;0,ISNUMBER(VALUE(MID(B148,IF(LEFT(B148,2)="V-",3,5),30))),VALUE(MID(B148,IF(LEFT(B148,2)="V-",3,5),30))&gt;=0,MOD(VALUE(MID(B148,IF(LEFT(B148,2)="V-",3,5),30)),1)=0,COUNTIFS(Slots!$A$2:$A$31,"E2",Slots!$B$2:$B$31,C148)=1,ISNUMBER(SEARCH("|"&amp;D148&amp;"|","|"&amp;Settings!$B$9&amp;"|")),OR(E148="regular",E148="first"),OR(F148="include",F148="duplicate",F148="late"),OR(H148="yes",H148="no"),OR(I148="success",I148="failed",I148="unknown",I148="not_sent"),OR(K148="yes",K148="no",K148="none",K148="conflict",K148="unknown"),OR(L148="text",L148="emoji",L148="voice",L148="none",L148="unknown"),OR(M148="yes",M148="no",M148="unknown"),OR(N148="yes",N148="no",N148="unknown"),ISNUMBER(O148),OR(O148=0,O148=1),OR(P148="",P148="soft_yes",P148="forgot",P148="time_place",P148="clash",P148="travel",P148="personal",P148="unknown",P148="silent_but_came"),OR(I148&lt;&gt;"success",AND(J148&lt;&gt;"",COUNTIFS($J$2:$J$201,J148,$I$2:$I$201,"success")=1)),OR(I148&lt;&gt;"not_sent",J148=""),IF(F148="duplicate",AND(COUNTIFS($A$2:$A$201,G148,$B$2:$B$201,B148,$C$2:$C$201,C148,$F$2:$F$201,"include")=1,H148="no",I148="not_sent",K148="none",M148="no",N148="no",O148=0),AND(G148="",N148&lt;&gt;"unknown",COUNTIFS($B$2:$B$201,B148,$F$2:$F$201,"&lt;&gt;duplicate")=1)),IF(F148="include",AND(H148="yes",K148&lt;&gt;"conflict",K148&lt;&gt;"unknown",M148&lt;&gt;"unknown",IF(OR(K148="yes",K148="no"),AND(M148="yes",OR(L148="text",L148="emoji",L148="voice")),L148="none")),TRUE),IF(F148="late",AND(H148="no",I148="not_sent",K148="none",L148="none",O148=0),TRUE)),"OK","CHECK"),"CHECK"))</x:f>
      </x:c>
      <x:c r="R148" s="3"/>
    </x:row>
    <x:row r="149" ht="22" customHeight="1">
      <x:c r="A149" s="8"/>
      <x:c r="B149" s="8"/>
      <x:c r="C149" s="8"/>
      <x:c r="D149" s="8"/>
      <x:c r="E149" s="7"/>
      <x:c r="F149" s="7"/>
      <x:c r="G149" s="7"/>
      <x:c r="H149" s="7"/>
      <x:c r="I149" s="7"/>
      <x:c r="J149" s="8"/>
      <x:c r="K149" s="7"/>
      <x:c r="L149" s="7"/>
      <x:c r="M149" s="7"/>
      <x:c r="N149" s="7"/>
      <x:c r="O149" s="7"/>
      <x:c r="P149" s="7"/>
      <x:c r="Q149" s="3" t="str">
        <x:f>IF(COUNTA(A149:P149)=0,"",IFERROR(IF(AND(A149&lt;&gt;"",COUNTIF($A$2:$A$201,A149)=1,OR(LEFT(B149,2)="V-",LEFT(B149,4)="SYN-"),LEN(MID(B149,IF(LEFT(B149,2)="V-",3,5),30))&gt;0,ISNUMBER(VALUE(MID(B149,IF(LEFT(B149,2)="V-",3,5),30))),VALUE(MID(B149,IF(LEFT(B149,2)="V-",3,5),30))&gt;=0,MOD(VALUE(MID(B149,IF(LEFT(B149,2)="V-",3,5),30)),1)=0,COUNTIFS(Slots!$A$2:$A$31,"E2",Slots!$B$2:$B$31,C149)=1,ISNUMBER(SEARCH("|"&amp;D149&amp;"|","|"&amp;Settings!$B$9&amp;"|")),OR(E149="regular",E149="first"),OR(F149="include",F149="duplicate",F149="late"),OR(H149="yes",H149="no"),OR(I149="success",I149="failed",I149="unknown",I149="not_sent"),OR(K149="yes",K149="no",K149="none",K149="conflict",K149="unknown"),OR(L149="text",L149="emoji",L149="voice",L149="none",L149="unknown"),OR(M149="yes",M149="no",M149="unknown"),OR(N149="yes",N149="no",N149="unknown"),ISNUMBER(O149),OR(O149=0,O149=1),OR(P149="",P149="soft_yes",P149="forgot",P149="time_place",P149="clash",P149="travel",P149="personal",P149="unknown",P149="silent_but_came"),OR(I149&lt;&gt;"success",AND(J149&lt;&gt;"",COUNTIFS($J$2:$J$201,J149,$I$2:$I$201,"success")=1)),OR(I149&lt;&gt;"not_sent",J149=""),IF(F149="duplicate",AND(COUNTIFS($A$2:$A$201,G149,$B$2:$B$201,B149,$C$2:$C$201,C149,$F$2:$F$201,"include")=1,H149="no",I149="not_sent",K149="none",M149="no",N149="no",O149=0),AND(G149="",N149&lt;&gt;"unknown",COUNTIFS($B$2:$B$201,B149,$F$2:$F$201,"&lt;&gt;duplicate")=1)),IF(F149="include",AND(H149="yes",K149&lt;&gt;"conflict",K149&lt;&gt;"unknown",M149&lt;&gt;"unknown",IF(OR(K149="yes",K149="no"),AND(M149="yes",OR(L149="text",L149="emoji",L149="voice")),L149="none")),TRUE),IF(F149="late",AND(H149="no",I149="not_sent",K149="none",L149="none",O149=0),TRUE)),"OK","CHECK"),"CHECK"))</x:f>
      </x:c>
      <x:c r="R149" s="3"/>
    </x:row>
    <x:row r="150" ht="22" customHeight="1">
      <x:c r="A150" s="8"/>
      <x:c r="B150" s="8"/>
      <x:c r="C150" s="8"/>
      <x:c r="D150" s="8"/>
      <x:c r="E150" s="7"/>
      <x:c r="F150" s="7"/>
      <x:c r="G150" s="7"/>
      <x:c r="H150" s="7"/>
      <x:c r="I150" s="7"/>
      <x:c r="J150" s="8"/>
      <x:c r="K150" s="7"/>
      <x:c r="L150" s="7"/>
      <x:c r="M150" s="7"/>
      <x:c r="N150" s="7"/>
      <x:c r="O150" s="7"/>
      <x:c r="P150" s="7"/>
      <x:c r="Q150" s="3" t="str">
        <x:f>IF(COUNTA(A150:P150)=0,"",IFERROR(IF(AND(A150&lt;&gt;"",COUNTIF($A$2:$A$201,A150)=1,OR(LEFT(B150,2)="V-",LEFT(B150,4)="SYN-"),LEN(MID(B150,IF(LEFT(B150,2)="V-",3,5),30))&gt;0,ISNUMBER(VALUE(MID(B150,IF(LEFT(B150,2)="V-",3,5),30))),VALUE(MID(B150,IF(LEFT(B150,2)="V-",3,5),30))&gt;=0,MOD(VALUE(MID(B150,IF(LEFT(B150,2)="V-",3,5),30)),1)=0,COUNTIFS(Slots!$A$2:$A$31,"E2",Slots!$B$2:$B$31,C150)=1,ISNUMBER(SEARCH("|"&amp;D150&amp;"|","|"&amp;Settings!$B$9&amp;"|")),OR(E150="regular",E150="first"),OR(F150="include",F150="duplicate",F150="late"),OR(H150="yes",H150="no"),OR(I150="success",I150="failed",I150="unknown",I150="not_sent"),OR(K150="yes",K150="no",K150="none",K150="conflict",K150="unknown"),OR(L150="text",L150="emoji",L150="voice",L150="none",L150="unknown"),OR(M150="yes",M150="no",M150="unknown"),OR(N150="yes",N150="no",N150="unknown"),ISNUMBER(O150),OR(O150=0,O150=1),OR(P150="",P150="soft_yes",P150="forgot",P150="time_place",P150="clash",P150="travel",P150="personal",P150="unknown",P150="silent_but_came"),OR(I150&lt;&gt;"success",AND(J150&lt;&gt;"",COUNTIFS($J$2:$J$201,J150,$I$2:$I$201,"success")=1)),OR(I150&lt;&gt;"not_sent",J150=""),IF(F150="duplicate",AND(COUNTIFS($A$2:$A$201,G150,$B$2:$B$201,B150,$C$2:$C$201,C150,$F$2:$F$201,"include")=1,H150="no",I150="not_sent",K150="none",M150="no",N150="no",O150=0),AND(G150="",N150&lt;&gt;"unknown",COUNTIFS($B$2:$B$201,B150,$F$2:$F$201,"&lt;&gt;duplicate")=1)),IF(F150="include",AND(H150="yes",K150&lt;&gt;"conflict",K150&lt;&gt;"unknown",M150&lt;&gt;"unknown",IF(OR(K150="yes",K150="no"),AND(M150="yes",OR(L150="text",L150="emoji",L150="voice")),L150="none")),TRUE),IF(F150="late",AND(H150="no",I150="not_sent",K150="none",L150="none",O150=0),TRUE)),"OK","CHECK"),"CHECK"))</x:f>
      </x:c>
      <x:c r="R150" s="3"/>
    </x:row>
    <x:row r="151" ht="22" customHeight="1">
      <x:c r="A151" s="8"/>
      <x:c r="B151" s="8"/>
      <x:c r="C151" s="8"/>
      <x:c r="D151" s="8"/>
      <x:c r="E151" s="7"/>
      <x:c r="F151" s="7"/>
      <x:c r="G151" s="7"/>
      <x:c r="H151" s="7"/>
      <x:c r="I151" s="7"/>
      <x:c r="J151" s="8"/>
      <x:c r="K151" s="7"/>
      <x:c r="L151" s="7"/>
      <x:c r="M151" s="7"/>
      <x:c r="N151" s="7"/>
      <x:c r="O151" s="7"/>
      <x:c r="P151" s="7"/>
      <x:c r="Q151" s="3" t="str">
        <x:f>IF(COUNTA(A151:P151)=0,"",IFERROR(IF(AND(A151&lt;&gt;"",COUNTIF($A$2:$A$201,A151)=1,OR(LEFT(B151,2)="V-",LEFT(B151,4)="SYN-"),LEN(MID(B151,IF(LEFT(B151,2)="V-",3,5),30))&gt;0,ISNUMBER(VALUE(MID(B151,IF(LEFT(B151,2)="V-",3,5),30))),VALUE(MID(B151,IF(LEFT(B151,2)="V-",3,5),30))&gt;=0,MOD(VALUE(MID(B151,IF(LEFT(B151,2)="V-",3,5),30)),1)=0,COUNTIFS(Slots!$A$2:$A$31,"E2",Slots!$B$2:$B$31,C151)=1,ISNUMBER(SEARCH("|"&amp;D151&amp;"|","|"&amp;Settings!$B$9&amp;"|")),OR(E151="regular",E151="first"),OR(F151="include",F151="duplicate",F151="late"),OR(H151="yes",H151="no"),OR(I151="success",I151="failed",I151="unknown",I151="not_sent"),OR(K151="yes",K151="no",K151="none",K151="conflict",K151="unknown"),OR(L151="text",L151="emoji",L151="voice",L151="none",L151="unknown"),OR(M151="yes",M151="no",M151="unknown"),OR(N151="yes",N151="no",N151="unknown"),ISNUMBER(O151),OR(O151=0,O151=1),OR(P151="",P151="soft_yes",P151="forgot",P151="time_place",P151="clash",P151="travel",P151="personal",P151="unknown",P151="silent_but_came"),OR(I151&lt;&gt;"success",AND(J151&lt;&gt;"",COUNTIFS($J$2:$J$201,J151,$I$2:$I$201,"success")=1)),OR(I151&lt;&gt;"not_sent",J151=""),IF(F151="duplicate",AND(COUNTIFS($A$2:$A$201,G151,$B$2:$B$201,B151,$C$2:$C$201,C151,$F$2:$F$201,"include")=1,H151="no",I151="not_sent",K151="none",M151="no",N151="no",O151=0),AND(G151="",N151&lt;&gt;"unknown",COUNTIFS($B$2:$B$201,B151,$F$2:$F$201,"&lt;&gt;duplicate")=1)),IF(F151="include",AND(H151="yes",K151&lt;&gt;"conflict",K151&lt;&gt;"unknown",M151&lt;&gt;"unknown",IF(OR(K151="yes",K151="no"),AND(M151="yes",OR(L151="text",L151="emoji",L151="voice")),L151="none")),TRUE),IF(F151="late",AND(H151="no",I151="not_sent",K151="none",L151="none",O151=0),TRUE)),"OK","CHECK"),"CHECK"))</x:f>
      </x:c>
      <x:c r="R151" s="3"/>
    </x:row>
    <x:row r="152" ht="22" customHeight="1">
      <x:c r="A152" s="8"/>
      <x:c r="B152" s="8"/>
      <x:c r="C152" s="8"/>
      <x:c r="D152" s="8"/>
      <x:c r="E152" s="7"/>
      <x:c r="F152" s="7"/>
      <x:c r="G152" s="7"/>
      <x:c r="H152" s="7"/>
      <x:c r="I152" s="7"/>
      <x:c r="J152" s="8"/>
      <x:c r="K152" s="7"/>
      <x:c r="L152" s="7"/>
      <x:c r="M152" s="7"/>
      <x:c r="N152" s="7"/>
      <x:c r="O152" s="7"/>
      <x:c r="P152" s="7"/>
      <x:c r="Q152" s="3" t="str">
        <x:f>IF(COUNTA(A152:P152)=0,"",IFERROR(IF(AND(A152&lt;&gt;"",COUNTIF($A$2:$A$201,A152)=1,OR(LEFT(B152,2)="V-",LEFT(B152,4)="SYN-"),LEN(MID(B152,IF(LEFT(B152,2)="V-",3,5),30))&gt;0,ISNUMBER(VALUE(MID(B152,IF(LEFT(B152,2)="V-",3,5),30))),VALUE(MID(B152,IF(LEFT(B152,2)="V-",3,5),30))&gt;=0,MOD(VALUE(MID(B152,IF(LEFT(B152,2)="V-",3,5),30)),1)=0,COUNTIFS(Slots!$A$2:$A$31,"E2",Slots!$B$2:$B$31,C152)=1,ISNUMBER(SEARCH("|"&amp;D152&amp;"|","|"&amp;Settings!$B$9&amp;"|")),OR(E152="regular",E152="first"),OR(F152="include",F152="duplicate",F152="late"),OR(H152="yes",H152="no"),OR(I152="success",I152="failed",I152="unknown",I152="not_sent"),OR(K152="yes",K152="no",K152="none",K152="conflict",K152="unknown"),OR(L152="text",L152="emoji",L152="voice",L152="none",L152="unknown"),OR(M152="yes",M152="no",M152="unknown"),OR(N152="yes",N152="no",N152="unknown"),ISNUMBER(O152),OR(O152=0,O152=1),OR(P152="",P152="soft_yes",P152="forgot",P152="time_place",P152="clash",P152="travel",P152="personal",P152="unknown",P152="silent_but_came"),OR(I152&lt;&gt;"success",AND(J152&lt;&gt;"",COUNTIFS($J$2:$J$201,J152,$I$2:$I$201,"success")=1)),OR(I152&lt;&gt;"not_sent",J152=""),IF(F152="duplicate",AND(COUNTIFS($A$2:$A$201,G152,$B$2:$B$201,B152,$C$2:$C$201,C152,$F$2:$F$201,"include")=1,H152="no",I152="not_sent",K152="none",M152="no",N152="no",O152=0),AND(G152="",N152&lt;&gt;"unknown",COUNTIFS($B$2:$B$201,B152,$F$2:$F$201,"&lt;&gt;duplicate")=1)),IF(F152="include",AND(H152="yes",K152&lt;&gt;"conflict",K152&lt;&gt;"unknown",M152&lt;&gt;"unknown",IF(OR(K152="yes",K152="no"),AND(M152="yes",OR(L152="text",L152="emoji",L152="voice")),L152="none")),TRUE),IF(F152="late",AND(H152="no",I152="not_sent",K152="none",L152="none",O152=0),TRUE)),"OK","CHECK"),"CHECK"))</x:f>
      </x:c>
      <x:c r="R152" s="3"/>
    </x:row>
    <x:row r="153" ht="22" customHeight="1">
      <x:c r="A153" s="8"/>
      <x:c r="B153" s="8"/>
      <x:c r="C153" s="8"/>
      <x:c r="D153" s="8"/>
      <x:c r="E153" s="7"/>
      <x:c r="F153" s="7"/>
      <x:c r="G153" s="7"/>
      <x:c r="H153" s="7"/>
      <x:c r="I153" s="7"/>
      <x:c r="J153" s="8"/>
      <x:c r="K153" s="7"/>
      <x:c r="L153" s="7"/>
      <x:c r="M153" s="7"/>
      <x:c r="N153" s="7"/>
      <x:c r="O153" s="7"/>
      <x:c r="P153" s="7"/>
      <x:c r="Q153" s="3" t="str">
        <x:f>IF(COUNTA(A153:P153)=0,"",IFERROR(IF(AND(A153&lt;&gt;"",COUNTIF($A$2:$A$201,A153)=1,OR(LEFT(B153,2)="V-",LEFT(B153,4)="SYN-"),LEN(MID(B153,IF(LEFT(B153,2)="V-",3,5),30))&gt;0,ISNUMBER(VALUE(MID(B153,IF(LEFT(B153,2)="V-",3,5),30))),VALUE(MID(B153,IF(LEFT(B153,2)="V-",3,5),30))&gt;=0,MOD(VALUE(MID(B153,IF(LEFT(B153,2)="V-",3,5),30)),1)=0,COUNTIFS(Slots!$A$2:$A$31,"E2",Slots!$B$2:$B$31,C153)=1,ISNUMBER(SEARCH("|"&amp;D153&amp;"|","|"&amp;Settings!$B$9&amp;"|")),OR(E153="regular",E153="first"),OR(F153="include",F153="duplicate",F153="late"),OR(H153="yes",H153="no"),OR(I153="success",I153="failed",I153="unknown",I153="not_sent"),OR(K153="yes",K153="no",K153="none",K153="conflict",K153="unknown"),OR(L153="text",L153="emoji",L153="voice",L153="none",L153="unknown"),OR(M153="yes",M153="no",M153="unknown"),OR(N153="yes",N153="no",N153="unknown"),ISNUMBER(O153),OR(O153=0,O153=1),OR(P153="",P153="soft_yes",P153="forgot",P153="time_place",P153="clash",P153="travel",P153="personal",P153="unknown",P153="silent_but_came"),OR(I153&lt;&gt;"success",AND(J153&lt;&gt;"",COUNTIFS($J$2:$J$201,J153,$I$2:$I$201,"success")=1)),OR(I153&lt;&gt;"not_sent",J153=""),IF(F153="duplicate",AND(COUNTIFS($A$2:$A$201,G153,$B$2:$B$201,B153,$C$2:$C$201,C153,$F$2:$F$201,"include")=1,H153="no",I153="not_sent",K153="none",M153="no",N153="no",O153=0),AND(G153="",N153&lt;&gt;"unknown",COUNTIFS($B$2:$B$201,B153,$F$2:$F$201,"&lt;&gt;duplicate")=1)),IF(F153="include",AND(H153="yes",K153&lt;&gt;"conflict",K153&lt;&gt;"unknown",M153&lt;&gt;"unknown",IF(OR(K153="yes",K153="no"),AND(M153="yes",OR(L153="text",L153="emoji",L153="voice")),L153="none")),TRUE),IF(F153="late",AND(H153="no",I153="not_sent",K153="none",L153="none",O153=0),TRUE)),"OK","CHECK"),"CHECK"))</x:f>
      </x:c>
      <x:c r="R153" s="3"/>
    </x:row>
    <x:row r="154" ht="22" customHeight="1">
      <x:c r="A154" s="8"/>
      <x:c r="B154" s="8"/>
      <x:c r="C154" s="8"/>
      <x:c r="D154" s="8"/>
      <x:c r="E154" s="7"/>
      <x:c r="F154" s="7"/>
      <x:c r="G154" s="7"/>
      <x:c r="H154" s="7"/>
      <x:c r="I154" s="7"/>
      <x:c r="J154" s="8"/>
      <x:c r="K154" s="7"/>
      <x:c r="L154" s="7"/>
      <x:c r="M154" s="7"/>
      <x:c r="N154" s="7"/>
      <x:c r="O154" s="7"/>
      <x:c r="P154" s="7"/>
      <x:c r="Q154" s="3" t="str">
        <x:f>IF(COUNTA(A154:P154)=0,"",IFERROR(IF(AND(A154&lt;&gt;"",COUNTIF($A$2:$A$201,A154)=1,OR(LEFT(B154,2)="V-",LEFT(B154,4)="SYN-"),LEN(MID(B154,IF(LEFT(B154,2)="V-",3,5),30))&gt;0,ISNUMBER(VALUE(MID(B154,IF(LEFT(B154,2)="V-",3,5),30))),VALUE(MID(B154,IF(LEFT(B154,2)="V-",3,5),30))&gt;=0,MOD(VALUE(MID(B154,IF(LEFT(B154,2)="V-",3,5),30)),1)=0,COUNTIFS(Slots!$A$2:$A$31,"E2",Slots!$B$2:$B$31,C154)=1,ISNUMBER(SEARCH("|"&amp;D154&amp;"|","|"&amp;Settings!$B$9&amp;"|")),OR(E154="regular",E154="first"),OR(F154="include",F154="duplicate",F154="late"),OR(H154="yes",H154="no"),OR(I154="success",I154="failed",I154="unknown",I154="not_sent"),OR(K154="yes",K154="no",K154="none",K154="conflict",K154="unknown"),OR(L154="text",L154="emoji",L154="voice",L154="none",L154="unknown"),OR(M154="yes",M154="no",M154="unknown"),OR(N154="yes",N154="no",N154="unknown"),ISNUMBER(O154),OR(O154=0,O154=1),OR(P154="",P154="soft_yes",P154="forgot",P154="time_place",P154="clash",P154="travel",P154="personal",P154="unknown",P154="silent_but_came"),OR(I154&lt;&gt;"success",AND(J154&lt;&gt;"",COUNTIFS($J$2:$J$201,J154,$I$2:$I$201,"success")=1)),OR(I154&lt;&gt;"not_sent",J154=""),IF(F154="duplicate",AND(COUNTIFS($A$2:$A$201,G154,$B$2:$B$201,B154,$C$2:$C$201,C154,$F$2:$F$201,"include")=1,H154="no",I154="not_sent",K154="none",M154="no",N154="no",O154=0),AND(G154="",N154&lt;&gt;"unknown",COUNTIFS($B$2:$B$201,B154,$F$2:$F$201,"&lt;&gt;duplicate")=1)),IF(F154="include",AND(H154="yes",K154&lt;&gt;"conflict",K154&lt;&gt;"unknown",M154&lt;&gt;"unknown",IF(OR(K154="yes",K154="no"),AND(M154="yes",OR(L154="text",L154="emoji",L154="voice")),L154="none")),TRUE),IF(F154="late",AND(H154="no",I154="not_sent",K154="none",L154="none",O154=0),TRUE)),"OK","CHECK"),"CHECK"))</x:f>
      </x:c>
      <x:c r="R154" s="3"/>
    </x:row>
    <x:row r="155" ht="22" customHeight="1">
      <x:c r="A155" s="8"/>
      <x:c r="B155" s="8"/>
      <x:c r="C155" s="8"/>
      <x:c r="D155" s="8"/>
      <x:c r="E155" s="7"/>
      <x:c r="F155" s="7"/>
      <x:c r="G155" s="7"/>
      <x:c r="H155" s="7"/>
      <x:c r="I155" s="7"/>
      <x:c r="J155" s="8"/>
      <x:c r="K155" s="7"/>
      <x:c r="L155" s="7"/>
      <x:c r="M155" s="7"/>
      <x:c r="N155" s="7"/>
      <x:c r="O155" s="7"/>
      <x:c r="P155" s="7"/>
      <x:c r="Q155" s="3" t="str">
        <x:f>IF(COUNTA(A155:P155)=0,"",IFERROR(IF(AND(A155&lt;&gt;"",COUNTIF($A$2:$A$201,A155)=1,OR(LEFT(B155,2)="V-",LEFT(B155,4)="SYN-"),LEN(MID(B155,IF(LEFT(B155,2)="V-",3,5),30))&gt;0,ISNUMBER(VALUE(MID(B155,IF(LEFT(B155,2)="V-",3,5),30))),VALUE(MID(B155,IF(LEFT(B155,2)="V-",3,5),30))&gt;=0,MOD(VALUE(MID(B155,IF(LEFT(B155,2)="V-",3,5),30)),1)=0,COUNTIFS(Slots!$A$2:$A$31,"E2",Slots!$B$2:$B$31,C155)=1,ISNUMBER(SEARCH("|"&amp;D155&amp;"|","|"&amp;Settings!$B$9&amp;"|")),OR(E155="regular",E155="first"),OR(F155="include",F155="duplicate",F155="late"),OR(H155="yes",H155="no"),OR(I155="success",I155="failed",I155="unknown",I155="not_sent"),OR(K155="yes",K155="no",K155="none",K155="conflict",K155="unknown"),OR(L155="text",L155="emoji",L155="voice",L155="none",L155="unknown"),OR(M155="yes",M155="no",M155="unknown"),OR(N155="yes",N155="no",N155="unknown"),ISNUMBER(O155),OR(O155=0,O155=1),OR(P155="",P155="soft_yes",P155="forgot",P155="time_place",P155="clash",P155="travel",P155="personal",P155="unknown",P155="silent_but_came"),OR(I155&lt;&gt;"success",AND(J155&lt;&gt;"",COUNTIFS($J$2:$J$201,J155,$I$2:$I$201,"success")=1)),OR(I155&lt;&gt;"not_sent",J155=""),IF(F155="duplicate",AND(COUNTIFS($A$2:$A$201,G155,$B$2:$B$201,B155,$C$2:$C$201,C155,$F$2:$F$201,"include")=1,H155="no",I155="not_sent",K155="none",M155="no",N155="no",O155=0),AND(G155="",N155&lt;&gt;"unknown",COUNTIFS($B$2:$B$201,B155,$F$2:$F$201,"&lt;&gt;duplicate")=1)),IF(F155="include",AND(H155="yes",K155&lt;&gt;"conflict",K155&lt;&gt;"unknown",M155&lt;&gt;"unknown",IF(OR(K155="yes",K155="no"),AND(M155="yes",OR(L155="text",L155="emoji",L155="voice")),L155="none")),TRUE),IF(F155="late",AND(H155="no",I155="not_sent",K155="none",L155="none",O155=0),TRUE)),"OK","CHECK"),"CHECK"))</x:f>
      </x:c>
      <x:c r="R155" s="3"/>
    </x:row>
    <x:row r="156" ht="22" customHeight="1">
      <x:c r="A156" s="8"/>
      <x:c r="B156" s="8"/>
      <x:c r="C156" s="8"/>
      <x:c r="D156" s="8"/>
      <x:c r="E156" s="7"/>
      <x:c r="F156" s="7"/>
      <x:c r="G156" s="7"/>
      <x:c r="H156" s="7"/>
      <x:c r="I156" s="7"/>
      <x:c r="J156" s="8"/>
      <x:c r="K156" s="7"/>
      <x:c r="L156" s="7"/>
      <x:c r="M156" s="7"/>
      <x:c r="N156" s="7"/>
      <x:c r="O156" s="7"/>
      <x:c r="P156" s="7"/>
      <x:c r="Q156" s="3" t="str">
        <x:f>IF(COUNTA(A156:P156)=0,"",IFERROR(IF(AND(A156&lt;&gt;"",COUNTIF($A$2:$A$201,A156)=1,OR(LEFT(B156,2)="V-",LEFT(B156,4)="SYN-"),LEN(MID(B156,IF(LEFT(B156,2)="V-",3,5),30))&gt;0,ISNUMBER(VALUE(MID(B156,IF(LEFT(B156,2)="V-",3,5),30))),VALUE(MID(B156,IF(LEFT(B156,2)="V-",3,5),30))&gt;=0,MOD(VALUE(MID(B156,IF(LEFT(B156,2)="V-",3,5),30)),1)=0,COUNTIFS(Slots!$A$2:$A$31,"E2",Slots!$B$2:$B$31,C156)=1,ISNUMBER(SEARCH("|"&amp;D156&amp;"|","|"&amp;Settings!$B$9&amp;"|")),OR(E156="regular",E156="first"),OR(F156="include",F156="duplicate",F156="late"),OR(H156="yes",H156="no"),OR(I156="success",I156="failed",I156="unknown",I156="not_sent"),OR(K156="yes",K156="no",K156="none",K156="conflict",K156="unknown"),OR(L156="text",L156="emoji",L156="voice",L156="none",L156="unknown"),OR(M156="yes",M156="no",M156="unknown"),OR(N156="yes",N156="no",N156="unknown"),ISNUMBER(O156),OR(O156=0,O156=1),OR(P156="",P156="soft_yes",P156="forgot",P156="time_place",P156="clash",P156="travel",P156="personal",P156="unknown",P156="silent_but_came"),OR(I156&lt;&gt;"success",AND(J156&lt;&gt;"",COUNTIFS($J$2:$J$201,J156,$I$2:$I$201,"success")=1)),OR(I156&lt;&gt;"not_sent",J156=""),IF(F156="duplicate",AND(COUNTIFS($A$2:$A$201,G156,$B$2:$B$201,B156,$C$2:$C$201,C156,$F$2:$F$201,"include")=1,H156="no",I156="not_sent",K156="none",M156="no",N156="no",O156=0),AND(G156="",N156&lt;&gt;"unknown",COUNTIFS($B$2:$B$201,B156,$F$2:$F$201,"&lt;&gt;duplicate")=1)),IF(F156="include",AND(H156="yes",K156&lt;&gt;"conflict",K156&lt;&gt;"unknown",M156&lt;&gt;"unknown",IF(OR(K156="yes",K156="no"),AND(M156="yes",OR(L156="text",L156="emoji",L156="voice")),L156="none")),TRUE),IF(F156="late",AND(H156="no",I156="not_sent",K156="none",L156="none",O156=0),TRUE)),"OK","CHECK"),"CHECK"))</x:f>
      </x:c>
      <x:c r="R156" s="3"/>
    </x:row>
    <x:row r="157" ht="22" customHeight="1">
      <x:c r="A157" s="8"/>
      <x:c r="B157" s="8"/>
      <x:c r="C157" s="8"/>
      <x:c r="D157" s="8"/>
      <x:c r="E157" s="7"/>
      <x:c r="F157" s="7"/>
      <x:c r="G157" s="7"/>
      <x:c r="H157" s="7"/>
      <x:c r="I157" s="7"/>
      <x:c r="J157" s="8"/>
      <x:c r="K157" s="7"/>
      <x:c r="L157" s="7"/>
      <x:c r="M157" s="7"/>
      <x:c r="N157" s="7"/>
      <x:c r="O157" s="7"/>
      <x:c r="P157" s="7"/>
      <x:c r="Q157" s="3" t="str">
        <x:f>IF(COUNTA(A157:P157)=0,"",IFERROR(IF(AND(A157&lt;&gt;"",COUNTIF($A$2:$A$201,A157)=1,OR(LEFT(B157,2)="V-",LEFT(B157,4)="SYN-"),LEN(MID(B157,IF(LEFT(B157,2)="V-",3,5),30))&gt;0,ISNUMBER(VALUE(MID(B157,IF(LEFT(B157,2)="V-",3,5),30))),VALUE(MID(B157,IF(LEFT(B157,2)="V-",3,5),30))&gt;=0,MOD(VALUE(MID(B157,IF(LEFT(B157,2)="V-",3,5),30)),1)=0,COUNTIFS(Slots!$A$2:$A$31,"E2",Slots!$B$2:$B$31,C157)=1,ISNUMBER(SEARCH("|"&amp;D157&amp;"|","|"&amp;Settings!$B$9&amp;"|")),OR(E157="regular",E157="first"),OR(F157="include",F157="duplicate",F157="late"),OR(H157="yes",H157="no"),OR(I157="success",I157="failed",I157="unknown",I157="not_sent"),OR(K157="yes",K157="no",K157="none",K157="conflict",K157="unknown"),OR(L157="text",L157="emoji",L157="voice",L157="none",L157="unknown"),OR(M157="yes",M157="no",M157="unknown"),OR(N157="yes",N157="no",N157="unknown"),ISNUMBER(O157),OR(O157=0,O157=1),OR(P157="",P157="soft_yes",P157="forgot",P157="time_place",P157="clash",P157="travel",P157="personal",P157="unknown",P157="silent_but_came"),OR(I157&lt;&gt;"success",AND(J157&lt;&gt;"",COUNTIFS($J$2:$J$201,J157,$I$2:$I$201,"success")=1)),OR(I157&lt;&gt;"not_sent",J157=""),IF(F157="duplicate",AND(COUNTIFS($A$2:$A$201,G157,$B$2:$B$201,B157,$C$2:$C$201,C157,$F$2:$F$201,"include")=1,H157="no",I157="not_sent",K157="none",M157="no",N157="no",O157=0),AND(G157="",N157&lt;&gt;"unknown",COUNTIFS($B$2:$B$201,B157,$F$2:$F$201,"&lt;&gt;duplicate")=1)),IF(F157="include",AND(H157="yes",K157&lt;&gt;"conflict",K157&lt;&gt;"unknown",M157&lt;&gt;"unknown",IF(OR(K157="yes",K157="no"),AND(M157="yes",OR(L157="text",L157="emoji",L157="voice")),L157="none")),TRUE),IF(F157="late",AND(H157="no",I157="not_sent",K157="none",L157="none",O157=0),TRUE)),"OK","CHECK"),"CHECK"))</x:f>
      </x:c>
      <x:c r="R157" s="3"/>
    </x:row>
    <x:row r="158" ht="22" customHeight="1">
      <x:c r="A158" s="8"/>
      <x:c r="B158" s="8"/>
      <x:c r="C158" s="8"/>
      <x:c r="D158" s="8"/>
      <x:c r="E158" s="7"/>
      <x:c r="F158" s="7"/>
      <x:c r="G158" s="7"/>
      <x:c r="H158" s="7"/>
      <x:c r="I158" s="7"/>
      <x:c r="J158" s="8"/>
      <x:c r="K158" s="7"/>
      <x:c r="L158" s="7"/>
      <x:c r="M158" s="7"/>
      <x:c r="N158" s="7"/>
      <x:c r="O158" s="7"/>
      <x:c r="P158" s="7"/>
      <x:c r="Q158" s="3" t="str">
        <x:f>IF(COUNTA(A158:P158)=0,"",IFERROR(IF(AND(A158&lt;&gt;"",COUNTIF($A$2:$A$201,A158)=1,OR(LEFT(B158,2)="V-",LEFT(B158,4)="SYN-"),LEN(MID(B158,IF(LEFT(B158,2)="V-",3,5),30))&gt;0,ISNUMBER(VALUE(MID(B158,IF(LEFT(B158,2)="V-",3,5),30))),VALUE(MID(B158,IF(LEFT(B158,2)="V-",3,5),30))&gt;=0,MOD(VALUE(MID(B158,IF(LEFT(B158,2)="V-",3,5),30)),1)=0,COUNTIFS(Slots!$A$2:$A$31,"E2",Slots!$B$2:$B$31,C158)=1,ISNUMBER(SEARCH("|"&amp;D158&amp;"|","|"&amp;Settings!$B$9&amp;"|")),OR(E158="regular",E158="first"),OR(F158="include",F158="duplicate",F158="late"),OR(H158="yes",H158="no"),OR(I158="success",I158="failed",I158="unknown",I158="not_sent"),OR(K158="yes",K158="no",K158="none",K158="conflict",K158="unknown"),OR(L158="text",L158="emoji",L158="voice",L158="none",L158="unknown"),OR(M158="yes",M158="no",M158="unknown"),OR(N158="yes",N158="no",N158="unknown"),ISNUMBER(O158),OR(O158=0,O158=1),OR(P158="",P158="soft_yes",P158="forgot",P158="time_place",P158="clash",P158="travel",P158="personal",P158="unknown",P158="silent_but_came"),OR(I158&lt;&gt;"success",AND(J158&lt;&gt;"",COUNTIFS($J$2:$J$201,J158,$I$2:$I$201,"success")=1)),OR(I158&lt;&gt;"not_sent",J158=""),IF(F158="duplicate",AND(COUNTIFS($A$2:$A$201,G158,$B$2:$B$201,B158,$C$2:$C$201,C158,$F$2:$F$201,"include")=1,H158="no",I158="not_sent",K158="none",M158="no",N158="no",O158=0),AND(G158="",N158&lt;&gt;"unknown",COUNTIFS($B$2:$B$201,B158,$F$2:$F$201,"&lt;&gt;duplicate")=1)),IF(F158="include",AND(H158="yes",K158&lt;&gt;"conflict",K158&lt;&gt;"unknown",M158&lt;&gt;"unknown",IF(OR(K158="yes",K158="no"),AND(M158="yes",OR(L158="text",L158="emoji",L158="voice")),L158="none")),TRUE),IF(F158="late",AND(H158="no",I158="not_sent",K158="none",L158="none",O158=0),TRUE)),"OK","CHECK"),"CHECK"))</x:f>
      </x:c>
      <x:c r="R158" s="3"/>
    </x:row>
    <x:row r="159" ht="22" customHeight="1">
      <x:c r="A159" s="8"/>
      <x:c r="B159" s="8"/>
      <x:c r="C159" s="8"/>
      <x:c r="D159" s="8"/>
      <x:c r="E159" s="7"/>
      <x:c r="F159" s="7"/>
      <x:c r="G159" s="7"/>
      <x:c r="H159" s="7"/>
      <x:c r="I159" s="7"/>
      <x:c r="J159" s="8"/>
      <x:c r="K159" s="7"/>
      <x:c r="L159" s="7"/>
      <x:c r="M159" s="7"/>
      <x:c r="N159" s="7"/>
      <x:c r="O159" s="7"/>
      <x:c r="P159" s="7"/>
      <x:c r="Q159" s="3" t="str">
        <x:f>IF(COUNTA(A159:P159)=0,"",IFERROR(IF(AND(A159&lt;&gt;"",COUNTIF($A$2:$A$201,A159)=1,OR(LEFT(B159,2)="V-",LEFT(B159,4)="SYN-"),LEN(MID(B159,IF(LEFT(B159,2)="V-",3,5),30))&gt;0,ISNUMBER(VALUE(MID(B159,IF(LEFT(B159,2)="V-",3,5),30))),VALUE(MID(B159,IF(LEFT(B159,2)="V-",3,5),30))&gt;=0,MOD(VALUE(MID(B159,IF(LEFT(B159,2)="V-",3,5),30)),1)=0,COUNTIFS(Slots!$A$2:$A$31,"E2",Slots!$B$2:$B$31,C159)=1,ISNUMBER(SEARCH("|"&amp;D159&amp;"|","|"&amp;Settings!$B$9&amp;"|")),OR(E159="regular",E159="first"),OR(F159="include",F159="duplicate",F159="late"),OR(H159="yes",H159="no"),OR(I159="success",I159="failed",I159="unknown",I159="not_sent"),OR(K159="yes",K159="no",K159="none",K159="conflict",K159="unknown"),OR(L159="text",L159="emoji",L159="voice",L159="none",L159="unknown"),OR(M159="yes",M159="no",M159="unknown"),OR(N159="yes",N159="no",N159="unknown"),ISNUMBER(O159),OR(O159=0,O159=1),OR(P159="",P159="soft_yes",P159="forgot",P159="time_place",P159="clash",P159="travel",P159="personal",P159="unknown",P159="silent_but_came"),OR(I159&lt;&gt;"success",AND(J159&lt;&gt;"",COUNTIFS($J$2:$J$201,J159,$I$2:$I$201,"success")=1)),OR(I159&lt;&gt;"not_sent",J159=""),IF(F159="duplicate",AND(COUNTIFS($A$2:$A$201,G159,$B$2:$B$201,B159,$C$2:$C$201,C159,$F$2:$F$201,"include")=1,H159="no",I159="not_sent",K159="none",M159="no",N159="no",O159=0),AND(G159="",N159&lt;&gt;"unknown",COUNTIFS($B$2:$B$201,B159,$F$2:$F$201,"&lt;&gt;duplicate")=1)),IF(F159="include",AND(H159="yes",K159&lt;&gt;"conflict",K159&lt;&gt;"unknown",M159&lt;&gt;"unknown",IF(OR(K159="yes",K159="no"),AND(M159="yes",OR(L159="text",L159="emoji",L159="voice")),L159="none")),TRUE),IF(F159="late",AND(H159="no",I159="not_sent",K159="none",L159="none",O159=0),TRUE)),"OK","CHECK"),"CHECK"))</x:f>
      </x:c>
      <x:c r="R159" s="3"/>
    </x:row>
    <x:row r="160" ht="22" customHeight="1">
      <x:c r="A160" s="8"/>
      <x:c r="B160" s="8"/>
      <x:c r="C160" s="8"/>
      <x:c r="D160" s="8"/>
      <x:c r="E160" s="7"/>
      <x:c r="F160" s="7"/>
      <x:c r="G160" s="7"/>
      <x:c r="H160" s="7"/>
      <x:c r="I160" s="7"/>
      <x:c r="J160" s="8"/>
      <x:c r="K160" s="7"/>
      <x:c r="L160" s="7"/>
      <x:c r="M160" s="7"/>
      <x:c r="N160" s="7"/>
      <x:c r="O160" s="7"/>
      <x:c r="P160" s="7"/>
      <x:c r="Q160" s="3" t="str">
        <x:f>IF(COUNTA(A160:P160)=0,"",IFERROR(IF(AND(A160&lt;&gt;"",COUNTIF($A$2:$A$201,A160)=1,OR(LEFT(B160,2)="V-",LEFT(B160,4)="SYN-"),LEN(MID(B160,IF(LEFT(B160,2)="V-",3,5),30))&gt;0,ISNUMBER(VALUE(MID(B160,IF(LEFT(B160,2)="V-",3,5),30))),VALUE(MID(B160,IF(LEFT(B160,2)="V-",3,5),30))&gt;=0,MOD(VALUE(MID(B160,IF(LEFT(B160,2)="V-",3,5),30)),1)=0,COUNTIFS(Slots!$A$2:$A$31,"E2",Slots!$B$2:$B$31,C160)=1,ISNUMBER(SEARCH("|"&amp;D160&amp;"|","|"&amp;Settings!$B$9&amp;"|")),OR(E160="regular",E160="first"),OR(F160="include",F160="duplicate",F160="late"),OR(H160="yes",H160="no"),OR(I160="success",I160="failed",I160="unknown",I160="not_sent"),OR(K160="yes",K160="no",K160="none",K160="conflict",K160="unknown"),OR(L160="text",L160="emoji",L160="voice",L160="none",L160="unknown"),OR(M160="yes",M160="no",M160="unknown"),OR(N160="yes",N160="no",N160="unknown"),ISNUMBER(O160),OR(O160=0,O160=1),OR(P160="",P160="soft_yes",P160="forgot",P160="time_place",P160="clash",P160="travel",P160="personal",P160="unknown",P160="silent_but_came"),OR(I160&lt;&gt;"success",AND(J160&lt;&gt;"",COUNTIFS($J$2:$J$201,J160,$I$2:$I$201,"success")=1)),OR(I160&lt;&gt;"not_sent",J160=""),IF(F160="duplicate",AND(COUNTIFS($A$2:$A$201,G160,$B$2:$B$201,B160,$C$2:$C$201,C160,$F$2:$F$201,"include")=1,H160="no",I160="not_sent",K160="none",M160="no",N160="no",O160=0),AND(G160="",N160&lt;&gt;"unknown",COUNTIFS($B$2:$B$201,B160,$F$2:$F$201,"&lt;&gt;duplicate")=1)),IF(F160="include",AND(H160="yes",K160&lt;&gt;"conflict",K160&lt;&gt;"unknown",M160&lt;&gt;"unknown",IF(OR(K160="yes",K160="no"),AND(M160="yes",OR(L160="text",L160="emoji",L160="voice")),L160="none")),TRUE),IF(F160="late",AND(H160="no",I160="not_sent",K160="none",L160="none",O160=0),TRUE)),"OK","CHECK"),"CHECK"))</x:f>
      </x:c>
      <x:c r="R160" s="3"/>
    </x:row>
    <x:row r="161" ht="22" customHeight="1">
      <x:c r="A161" s="8"/>
      <x:c r="B161" s="8"/>
      <x:c r="C161" s="8"/>
      <x:c r="D161" s="8"/>
      <x:c r="E161" s="7"/>
      <x:c r="F161" s="7"/>
      <x:c r="G161" s="7"/>
      <x:c r="H161" s="7"/>
      <x:c r="I161" s="7"/>
      <x:c r="J161" s="8"/>
      <x:c r="K161" s="7"/>
      <x:c r="L161" s="7"/>
      <x:c r="M161" s="7"/>
      <x:c r="N161" s="7"/>
      <x:c r="O161" s="7"/>
      <x:c r="P161" s="7"/>
      <x:c r="Q161" s="3" t="str">
        <x:f>IF(COUNTA(A161:P161)=0,"",IFERROR(IF(AND(A161&lt;&gt;"",COUNTIF($A$2:$A$201,A161)=1,OR(LEFT(B161,2)="V-",LEFT(B161,4)="SYN-"),LEN(MID(B161,IF(LEFT(B161,2)="V-",3,5),30))&gt;0,ISNUMBER(VALUE(MID(B161,IF(LEFT(B161,2)="V-",3,5),30))),VALUE(MID(B161,IF(LEFT(B161,2)="V-",3,5),30))&gt;=0,MOD(VALUE(MID(B161,IF(LEFT(B161,2)="V-",3,5),30)),1)=0,COUNTIFS(Slots!$A$2:$A$31,"E2",Slots!$B$2:$B$31,C161)=1,ISNUMBER(SEARCH("|"&amp;D161&amp;"|","|"&amp;Settings!$B$9&amp;"|")),OR(E161="regular",E161="first"),OR(F161="include",F161="duplicate",F161="late"),OR(H161="yes",H161="no"),OR(I161="success",I161="failed",I161="unknown",I161="not_sent"),OR(K161="yes",K161="no",K161="none",K161="conflict",K161="unknown"),OR(L161="text",L161="emoji",L161="voice",L161="none",L161="unknown"),OR(M161="yes",M161="no",M161="unknown"),OR(N161="yes",N161="no",N161="unknown"),ISNUMBER(O161),OR(O161=0,O161=1),OR(P161="",P161="soft_yes",P161="forgot",P161="time_place",P161="clash",P161="travel",P161="personal",P161="unknown",P161="silent_but_came"),OR(I161&lt;&gt;"success",AND(J161&lt;&gt;"",COUNTIFS($J$2:$J$201,J161,$I$2:$I$201,"success")=1)),OR(I161&lt;&gt;"not_sent",J161=""),IF(F161="duplicate",AND(COUNTIFS($A$2:$A$201,G161,$B$2:$B$201,B161,$C$2:$C$201,C161,$F$2:$F$201,"include")=1,H161="no",I161="not_sent",K161="none",M161="no",N161="no",O161=0),AND(G161="",N161&lt;&gt;"unknown",COUNTIFS($B$2:$B$201,B161,$F$2:$F$201,"&lt;&gt;duplicate")=1)),IF(F161="include",AND(H161="yes",K161&lt;&gt;"conflict",K161&lt;&gt;"unknown",M161&lt;&gt;"unknown",IF(OR(K161="yes",K161="no"),AND(M161="yes",OR(L161="text",L161="emoji",L161="voice")),L161="none")),TRUE),IF(F161="late",AND(H161="no",I161="not_sent",K161="none",L161="none",O161=0),TRUE)),"OK","CHECK"),"CHECK"))</x:f>
      </x:c>
      <x:c r="R161" s="3"/>
    </x:row>
    <x:row r="162" ht="22" customHeight="1">
      <x:c r="A162" s="8"/>
      <x:c r="B162" s="8"/>
      <x:c r="C162" s="8"/>
      <x:c r="D162" s="8"/>
      <x:c r="E162" s="7"/>
      <x:c r="F162" s="7"/>
      <x:c r="G162" s="7"/>
      <x:c r="H162" s="7"/>
      <x:c r="I162" s="7"/>
      <x:c r="J162" s="8"/>
      <x:c r="K162" s="7"/>
      <x:c r="L162" s="7"/>
      <x:c r="M162" s="7"/>
      <x:c r="N162" s="7"/>
      <x:c r="O162" s="7"/>
      <x:c r="P162" s="7"/>
      <x:c r="Q162" s="3" t="str">
        <x:f>IF(COUNTA(A162:P162)=0,"",IFERROR(IF(AND(A162&lt;&gt;"",COUNTIF($A$2:$A$201,A162)=1,OR(LEFT(B162,2)="V-",LEFT(B162,4)="SYN-"),LEN(MID(B162,IF(LEFT(B162,2)="V-",3,5),30))&gt;0,ISNUMBER(VALUE(MID(B162,IF(LEFT(B162,2)="V-",3,5),30))),VALUE(MID(B162,IF(LEFT(B162,2)="V-",3,5),30))&gt;=0,MOD(VALUE(MID(B162,IF(LEFT(B162,2)="V-",3,5),30)),1)=0,COUNTIFS(Slots!$A$2:$A$31,"E2",Slots!$B$2:$B$31,C162)=1,ISNUMBER(SEARCH("|"&amp;D162&amp;"|","|"&amp;Settings!$B$9&amp;"|")),OR(E162="regular",E162="first"),OR(F162="include",F162="duplicate",F162="late"),OR(H162="yes",H162="no"),OR(I162="success",I162="failed",I162="unknown",I162="not_sent"),OR(K162="yes",K162="no",K162="none",K162="conflict",K162="unknown"),OR(L162="text",L162="emoji",L162="voice",L162="none",L162="unknown"),OR(M162="yes",M162="no",M162="unknown"),OR(N162="yes",N162="no",N162="unknown"),ISNUMBER(O162),OR(O162=0,O162=1),OR(P162="",P162="soft_yes",P162="forgot",P162="time_place",P162="clash",P162="travel",P162="personal",P162="unknown",P162="silent_but_came"),OR(I162&lt;&gt;"success",AND(J162&lt;&gt;"",COUNTIFS($J$2:$J$201,J162,$I$2:$I$201,"success")=1)),OR(I162&lt;&gt;"not_sent",J162=""),IF(F162="duplicate",AND(COUNTIFS($A$2:$A$201,G162,$B$2:$B$201,B162,$C$2:$C$201,C162,$F$2:$F$201,"include")=1,H162="no",I162="not_sent",K162="none",M162="no",N162="no",O162=0),AND(G162="",N162&lt;&gt;"unknown",COUNTIFS($B$2:$B$201,B162,$F$2:$F$201,"&lt;&gt;duplicate")=1)),IF(F162="include",AND(H162="yes",K162&lt;&gt;"conflict",K162&lt;&gt;"unknown",M162&lt;&gt;"unknown",IF(OR(K162="yes",K162="no"),AND(M162="yes",OR(L162="text",L162="emoji",L162="voice")),L162="none")),TRUE),IF(F162="late",AND(H162="no",I162="not_sent",K162="none",L162="none",O162=0),TRUE)),"OK","CHECK"),"CHECK"))</x:f>
      </x:c>
      <x:c r="R162" s="3"/>
    </x:row>
    <x:row r="163" ht="22" customHeight="1">
      <x:c r="A163" s="8"/>
      <x:c r="B163" s="8"/>
      <x:c r="C163" s="8"/>
      <x:c r="D163" s="8"/>
      <x:c r="E163" s="7"/>
      <x:c r="F163" s="7"/>
      <x:c r="G163" s="7"/>
      <x:c r="H163" s="7"/>
      <x:c r="I163" s="7"/>
      <x:c r="J163" s="8"/>
      <x:c r="K163" s="7"/>
      <x:c r="L163" s="7"/>
      <x:c r="M163" s="7"/>
      <x:c r="N163" s="7"/>
      <x:c r="O163" s="7"/>
      <x:c r="P163" s="7"/>
      <x:c r="Q163" s="3" t="str">
        <x:f>IF(COUNTA(A163:P163)=0,"",IFERROR(IF(AND(A163&lt;&gt;"",COUNTIF($A$2:$A$201,A163)=1,OR(LEFT(B163,2)="V-",LEFT(B163,4)="SYN-"),LEN(MID(B163,IF(LEFT(B163,2)="V-",3,5),30))&gt;0,ISNUMBER(VALUE(MID(B163,IF(LEFT(B163,2)="V-",3,5),30))),VALUE(MID(B163,IF(LEFT(B163,2)="V-",3,5),30))&gt;=0,MOD(VALUE(MID(B163,IF(LEFT(B163,2)="V-",3,5),30)),1)=0,COUNTIFS(Slots!$A$2:$A$31,"E2",Slots!$B$2:$B$31,C163)=1,ISNUMBER(SEARCH("|"&amp;D163&amp;"|","|"&amp;Settings!$B$9&amp;"|")),OR(E163="regular",E163="first"),OR(F163="include",F163="duplicate",F163="late"),OR(H163="yes",H163="no"),OR(I163="success",I163="failed",I163="unknown",I163="not_sent"),OR(K163="yes",K163="no",K163="none",K163="conflict",K163="unknown"),OR(L163="text",L163="emoji",L163="voice",L163="none",L163="unknown"),OR(M163="yes",M163="no",M163="unknown"),OR(N163="yes",N163="no",N163="unknown"),ISNUMBER(O163),OR(O163=0,O163=1),OR(P163="",P163="soft_yes",P163="forgot",P163="time_place",P163="clash",P163="travel",P163="personal",P163="unknown",P163="silent_but_came"),OR(I163&lt;&gt;"success",AND(J163&lt;&gt;"",COUNTIFS($J$2:$J$201,J163,$I$2:$I$201,"success")=1)),OR(I163&lt;&gt;"not_sent",J163=""),IF(F163="duplicate",AND(COUNTIFS($A$2:$A$201,G163,$B$2:$B$201,B163,$C$2:$C$201,C163,$F$2:$F$201,"include")=1,H163="no",I163="not_sent",K163="none",M163="no",N163="no",O163=0),AND(G163="",N163&lt;&gt;"unknown",COUNTIFS($B$2:$B$201,B163,$F$2:$F$201,"&lt;&gt;duplicate")=1)),IF(F163="include",AND(H163="yes",K163&lt;&gt;"conflict",K163&lt;&gt;"unknown",M163&lt;&gt;"unknown",IF(OR(K163="yes",K163="no"),AND(M163="yes",OR(L163="text",L163="emoji",L163="voice")),L163="none")),TRUE),IF(F163="late",AND(H163="no",I163="not_sent",K163="none",L163="none",O163=0),TRUE)),"OK","CHECK"),"CHECK"))</x:f>
      </x:c>
      <x:c r="R163" s="3"/>
    </x:row>
    <x:row r="164" ht="22" customHeight="1">
      <x:c r="A164" s="8"/>
      <x:c r="B164" s="8"/>
      <x:c r="C164" s="8"/>
      <x:c r="D164" s="8"/>
      <x:c r="E164" s="7"/>
      <x:c r="F164" s="7"/>
      <x:c r="G164" s="7"/>
      <x:c r="H164" s="7"/>
      <x:c r="I164" s="7"/>
      <x:c r="J164" s="8"/>
      <x:c r="K164" s="7"/>
      <x:c r="L164" s="7"/>
      <x:c r="M164" s="7"/>
      <x:c r="N164" s="7"/>
      <x:c r="O164" s="7"/>
      <x:c r="P164" s="7"/>
      <x:c r="Q164" s="3" t="str">
        <x:f>IF(COUNTA(A164:P164)=0,"",IFERROR(IF(AND(A164&lt;&gt;"",COUNTIF($A$2:$A$201,A164)=1,OR(LEFT(B164,2)="V-",LEFT(B164,4)="SYN-"),LEN(MID(B164,IF(LEFT(B164,2)="V-",3,5),30))&gt;0,ISNUMBER(VALUE(MID(B164,IF(LEFT(B164,2)="V-",3,5),30))),VALUE(MID(B164,IF(LEFT(B164,2)="V-",3,5),30))&gt;=0,MOD(VALUE(MID(B164,IF(LEFT(B164,2)="V-",3,5),30)),1)=0,COUNTIFS(Slots!$A$2:$A$31,"E2",Slots!$B$2:$B$31,C164)=1,ISNUMBER(SEARCH("|"&amp;D164&amp;"|","|"&amp;Settings!$B$9&amp;"|")),OR(E164="regular",E164="first"),OR(F164="include",F164="duplicate",F164="late"),OR(H164="yes",H164="no"),OR(I164="success",I164="failed",I164="unknown",I164="not_sent"),OR(K164="yes",K164="no",K164="none",K164="conflict",K164="unknown"),OR(L164="text",L164="emoji",L164="voice",L164="none",L164="unknown"),OR(M164="yes",M164="no",M164="unknown"),OR(N164="yes",N164="no",N164="unknown"),ISNUMBER(O164),OR(O164=0,O164=1),OR(P164="",P164="soft_yes",P164="forgot",P164="time_place",P164="clash",P164="travel",P164="personal",P164="unknown",P164="silent_but_came"),OR(I164&lt;&gt;"success",AND(J164&lt;&gt;"",COUNTIFS($J$2:$J$201,J164,$I$2:$I$201,"success")=1)),OR(I164&lt;&gt;"not_sent",J164=""),IF(F164="duplicate",AND(COUNTIFS($A$2:$A$201,G164,$B$2:$B$201,B164,$C$2:$C$201,C164,$F$2:$F$201,"include")=1,H164="no",I164="not_sent",K164="none",M164="no",N164="no",O164=0),AND(G164="",N164&lt;&gt;"unknown",COUNTIFS($B$2:$B$201,B164,$F$2:$F$201,"&lt;&gt;duplicate")=1)),IF(F164="include",AND(H164="yes",K164&lt;&gt;"conflict",K164&lt;&gt;"unknown",M164&lt;&gt;"unknown",IF(OR(K164="yes",K164="no"),AND(M164="yes",OR(L164="text",L164="emoji",L164="voice")),L164="none")),TRUE),IF(F164="late",AND(H164="no",I164="not_sent",K164="none",L164="none",O164=0),TRUE)),"OK","CHECK"),"CHECK"))</x:f>
      </x:c>
      <x:c r="R164" s="3"/>
    </x:row>
    <x:row r="165" ht="22" customHeight="1">
      <x:c r="A165" s="8"/>
      <x:c r="B165" s="8"/>
      <x:c r="C165" s="8"/>
      <x:c r="D165" s="8"/>
      <x:c r="E165" s="7"/>
      <x:c r="F165" s="7"/>
      <x:c r="G165" s="7"/>
      <x:c r="H165" s="7"/>
      <x:c r="I165" s="7"/>
      <x:c r="J165" s="8"/>
      <x:c r="K165" s="7"/>
      <x:c r="L165" s="7"/>
      <x:c r="M165" s="7"/>
      <x:c r="N165" s="7"/>
      <x:c r="O165" s="7"/>
      <x:c r="P165" s="7"/>
      <x:c r="Q165" s="3" t="str">
        <x:f>IF(COUNTA(A165:P165)=0,"",IFERROR(IF(AND(A165&lt;&gt;"",COUNTIF($A$2:$A$201,A165)=1,OR(LEFT(B165,2)="V-",LEFT(B165,4)="SYN-"),LEN(MID(B165,IF(LEFT(B165,2)="V-",3,5),30))&gt;0,ISNUMBER(VALUE(MID(B165,IF(LEFT(B165,2)="V-",3,5),30))),VALUE(MID(B165,IF(LEFT(B165,2)="V-",3,5),30))&gt;=0,MOD(VALUE(MID(B165,IF(LEFT(B165,2)="V-",3,5),30)),1)=0,COUNTIFS(Slots!$A$2:$A$31,"E2",Slots!$B$2:$B$31,C165)=1,ISNUMBER(SEARCH("|"&amp;D165&amp;"|","|"&amp;Settings!$B$9&amp;"|")),OR(E165="regular",E165="first"),OR(F165="include",F165="duplicate",F165="late"),OR(H165="yes",H165="no"),OR(I165="success",I165="failed",I165="unknown",I165="not_sent"),OR(K165="yes",K165="no",K165="none",K165="conflict",K165="unknown"),OR(L165="text",L165="emoji",L165="voice",L165="none",L165="unknown"),OR(M165="yes",M165="no",M165="unknown"),OR(N165="yes",N165="no",N165="unknown"),ISNUMBER(O165),OR(O165=0,O165=1),OR(P165="",P165="soft_yes",P165="forgot",P165="time_place",P165="clash",P165="travel",P165="personal",P165="unknown",P165="silent_but_came"),OR(I165&lt;&gt;"success",AND(J165&lt;&gt;"",COUNTIFS($J$2:$J$201,J165,$I$2:$I$201,"success")=1)),OR(I165&lt;&gt;"not_sent",J165=""),IF(F165="duplicate",AND(COUNTIFS($A$2:$A$201,G165,$B$2:$B$201,B165,$C$2:$C$201,C165,$F$2:$F$201,"include")=1,H165="no",I165="not_sent",K165="none",M165="no",N165="no",O165=0),AND(G165="",N165&lt;&gt;"unknown",COUNTIFS($B$2:$B$201,B165,$F$2:$F$201,"&lt;&gt;duplicate")=1)),IF(F165="include",AND(H165="yes",K165&lt;&gt;"conflict",K165&lt;&gt;"unknown",M165&lt;&gt;"unknown",IF(OR(K165="yes",K165="no"),AND(M165="yes",OR(L165="text",L165="emoji",L165="voice")),L165="none")),TRUE),IF(F165="late",AND(H165="no",I165="not_sent",K165="none",L165="none",O165=0),TRUE)),"OK","CHECK"),"CHECK"))</x:f>
      </x:c>
      <x:c r="R165" s="3"/>
    </x:row>
    <x:row r="166" ht="22" customHeight="1">
      <x:c r="A166" s="8"/>
      <x:c r="B166" s="8"/>
      <x:c r="C166" s="8"/>
      <x:c r="D166" s="8"/>
      <x:c r="E166" s="7"/>
      <x:c r="F166" s="7"/>
      <x:c r="G166" s="7"/>
      <x:c r="H166" s="7"/>
      <x:c r="I166" s="7"/>
      <x:c r="J166" s="8"/>
      <x:c r="K166" s="7"/>
      <x:c r="L166" s="7"/>
      <x:c r="M166" s="7"/>
      <x:c r="N166" s="7"/>
      <x:c r="O166" s="7"/>
      <x:c r="P166" s="7"/>
      <x:c r="Q166" s="3" t="str">
        <x:f>IF(COUNTA(A166:P166)=0,"",IFERROR(IF(AND(A166&lt;&gt;"",COUNTIF($A$2:$A$201,A166)=1,OR(LEFT(B166,2)="V-",LEFT(B166,4)="SYN-"),LEN(MID(B166,IF(LEFT(B166,2)="V-",3,5),30))&gt;0,ISNUMBER(VALUE(MID(B166,IF(LEFT(B166,2)="V-",3,5),30))),VALUE(MID(B166,IF(LEFT(B166,2)="V-",3,5),30))&gt;=0,MOD(VALUE(MID(B166,IF(LEFT(B166,2)="V-",3,5),30)),1)=0,COUNTIFS(Slots!$A$2:$A$31,"E2",Slots!$B$2:$B$31,C166)=1,ISNUMBER(SEARCH("|"&amp;D166&amp;"|","|"&amp;Settings!$B$9&amp;"|")),OR(E166="regular",E166="first"),OR(F166="include",F166="duplicate",F166="late"),OR(H166="yes",H166="no"),OR(I166="success",I166="failed",I166="unknown",I166="not_sent"),OR(K166="yes",K166="no",K166="none",K166="conflict",K166="unknown"),OR(L166="text",L166="emoji",L166="voice",L166="none",L166="unknown"),OR(M166="yes",M166="no",M166="unknown"),OR(N166="yes",N166="no",N166="unknown"),ISNUMBER(O166),OR(O166=0,O166=1),OR(P166="",P166="soft_yes",P166="forgot",P166="time_place",P166="clash",P166="travel",P166="personal",P166="unknown",P166="silent_but_came"),OR(I166&lt;&gt;"success",AND(J166&lt;&gt;"",COUNTIFS($J$2:$J$201,J166,$I$2:$I$201,"success")=1)),OR(I166&lt;&gt;"not_sent",J166=""),IF(F166="duplicate",AND(COUNTIFS($A$2:$A$201,G166,$B$2:$B$201,B166,$C$2:$C$201,C166,$F$2:$F$201,"include")=1,H166="no",I166="not_sent",K166="none",M166="no",N166="no",O166=0),AND(G166="",N166&lt;&gt;"unknown",COUNTIFS($B$2:$B$201,B166,$F$2:$F$201,"&lt;&gt;duplicate")=1)),IF(F166="include",AND(H166="yes",K166&lt;&gt;"conflict",K166&lt;&gt;"unknown",M166&lt;&gt;"unknown",IF(OR(K166="yes",K166="no"),AND(M166="yes",OR(L166="text",L166="emoji",L166="voice")),L166="none")),TRUE),IF(F166="late",AND(H166="no",I166="not_sent",K166="none",L166="none",O166=0),TRUE)),"OK","CHECK"),"CHECK"))</x:f>
      </x:c>
      <x:c r="R166" s="3"/>
    </x:row>
    <x:row r="167" ht="22" customHeight="1">
      <x:c r="A167" s="8"/>
      <x:c r="B167" s="8"/>
      <x:c r="C167" s="8"/>
      <x:c r="D167" s="8"/>
      <x:c r="E167" s="7"/>
      <x:c r="F167" s="7"/>
      <x:c r="G167" s="7"/>
      <x:c r="H167" s="7"/>
      <x:c r="I167" s="7"/>
      <x:c r="J167" s="8"/>
      <x:c r="K167" s="7"/>
      <x:c r="L167" s="7"/>
      <x:c r="M167" s="7"/>
      <x:c r="N167" s="7"/>
      <x:c r="O167" s="7"/>
      <x:c r="P167" s="7"/>
      <x:c r="Q167" s="3" t="str">
        <x:f>IF(COUNTA(A167:P167)=0,"",IFERROR(IF(AND(A167&lt;&gt;"",COUNTIF($A$2:$A$201,A167)=1,OR(LEFT(B167,2)="V-",LEFT(B167,4)="SYN-"),LEN(MID(B167,IF(LEFT(B167,2)="V-",3,5),30))&gt;0,ISNUMBER(VALUE(MID(B167,IF(LEFT(B167,2)="V-",3,5),30))),VALUE(MID(B167,IF(LEFT(B167,2)="V-",3,5),30))&gt;=0,MOD(VALUE(MID(B167,IF(LEFT(B167,2)="V-",3,5),30)),1)=0,COUNTIFS(Slots!$A$2:$A$31,"E2",Slots!$B$2:$B$31,C167)=1,ISNUMBER(SEARCH("|"&amp;D167&amp;"|","|"&amp;Settings!$B$9&amp;"|")),OR(E167="regular",E167="first"),OR(F167="include",F167="duplicate",F167="late"),OR(H167="yes",H167="no"),OR(I167="success",I167="failed",I167="unknown",I167="not_sent"),OR(K167="yes",K167="no",K167="none",K167="conflict",K167="unknown"),OR(L167="text",L167="emoji",L167="voice",L167="none",L167="unknown"),OR(M167="yes",M167="no",M167="unknown"),OR(N167="yes",N167="no",N167="unknown"),ISNUMBER(O167),OR(O167=0,O167=1),OR(P167="",P167="soft_yes",P167="forgot",P167="time_place",P167="clash",P167="travel",P167="personal",P167="unknown",P167="silent_but_came"),OR(I167&lt;&gt;"success",AND(J167&lt;&gt;"",COUNTIFS($J$2:$J$201,J167,$I$2:$I$201,"success")=1)),OR(I167&lt;&gt;"not_sent",J167=""),IF(F167="duplicate",AND(COUNTIFS($A$2:$A$201,G167,$B$2:$B$201,B167,$C$2:$C$201,C167,$F$2:$F$201,"include")=1,H167="no",I167="not_sent",K167="none",M167="no",N167="no",O167=0),AND(G167="",N167&lt;&gt;"unknown",COUNTIFS($B$2:$B$201,B167,$F$2:$F$201,"&lt;&gt;duplicate")=1)),IF(F167="include",AND(H167="yes",K167&lt;&gt;"conflict",K167&lt;&gt;"unknown",M167&lt;&gt;"unknown",IF(OR(K167="yes",K167="no"),AND(M167="yes",OR(L167="text",L167="emoji",L167="voice")),L167="none")),TRUE),IF(F167="late",AND(H167="no",I167="not_sent",K167="none",L167="none",O167=0),TRUE)),"OK","CHECK"),"CHECK"))</x:f>
      </x:c>
      <x:c r="R167" s="3"/>
    </x:row>
    <x:row r="168" ht="22" customHeight="1">
      <x:c r="A168" s="8"/>
      <x:c r="B168" s="8"/>
      <x:c r="C168" s="8"/>
      <x:c r="D168" s="8"/>
      <x:c r="E168" s="7"/>
      <x:c r="F168" s="7"/>
      <x:c r="G168" s="7"/>
      <x:c r="H168" s="7"/>
      <x:c r="I168" s="7"/>
      <x:c r="J168" s="8"/>
      <x:c r="K168" s="7"/>
      <x:c r="L168" s="7"/>
      <x:c r="M168" s="7"/>
      <x:c r="N168" s="7"/>
      <x:c r="O168" s="7"/>
      <x:c r="P168" s="7"/>
      <x:c r="Q168" s="3" t="str">
        <x:f>IF(COUNTA(A168:P168)=0,"",IFERROR(IF(AND(A168&lt;&gt;"",COUNTIF($A$2:$A$201,A168)=1,OR(LEFT(B168,2)="V-",LEFT(B168,4)="SYN-"),LEN(MID(B168,IF(LEFT(B168,2)="V-",3,5),30))&gt;0,ISNUMBER(VALUE(MID(B168,IF(LEFT(B168,2)="V-",3,5),30))),VALUE(MID(B168,IF(LEFT(B168,2)="V-",3,5),30))&gt;=0,MOD(VALUE(MID(B168,IF(LEFT(B168,2)="V-",3,5),30)),1)=0,COUNTIFS(Slots!$A$2:$A$31,"E2",Slots!$B$2:$B$31,C168)=1,ISNUMBER(SEARCH("|"&amp;D168&amp;"|","|"&amp;Settings!$B$9&amp;"|")),OR(E168="regular",E168="first"),OR(F168="include",F168="duplicate",F168="late"),OR(H168="yes",H168="no"),OR(I168="success",I168="failed",I168="unknown",I168="not_sent"),OR(K168="yes",K168="no",K168="none",K168="conflict",K168="unknown"),OR(L168="text",L168="emoji",L168="voice",L168="none",L168="unknown"),OR(M168="yes",M168="no",M168="unknown"),OR(N168="yes",N168="no",N168="unknown"),ISNUMBER(O168),OR(O168=0,O168=1),OR(P168="",P168="soft_yes",P168="forgot",P168="time_place",P168="clash",P168="travel",P168="personal",P168="unknown",P168="silent_but_came"),OR(I168&lt;&gt;"success",AND(J168&lt;&gt;"",COUNTIFS($J$2:$J$201,J168,$I$2:$I$201,"success")=1)),OR(I168&lt;&gt;"not_sent",J168=""),IF(F168="duplicate",AND(COUNTIFS($A$2:$A$201,G168,$B$2:$B$201,B168,$C$2:$C$201,C168,$F$2:$F$201,"include")=1,H168="no",I168="not_sent",K168="none",M168="no",N168="no",O168=0),AND(G168="",N168&lt;&gt;"unknown",COUNTIFS($B$2:$B$201,B168,$F$2:$F$201,"&lt;&gt;duplicate")=1)),IF(F168="include",AND(H168="yes",K168&lt;&gt;"conflict",K168&lt;&gt;"unknown",M168&lt;&gt;"unknown",IF(OR(K168="yes",K168="no"),AND(M168="yes",OR(L168="text",L168="emoji",L168="voice")),L168="none")),TRUE),IF(F168="late",AND(H168="no",I168="not_sent",K168="none",L168="none",O168=0),TRUE)),"OK","CHECK"),"CHECK"))</x:f>
      </x:c>
      <x:c r="R168" s="3"/>
    </x:row>
    <x:row r="169" ht="22" customHeight="1">
      <x:c r="A169" s="8"/>
      <x:c r="B169" s="8"/>
      <x:c r="C169" s="8"/>
      <x:c r="D169" s="8"/>
      <x:c r="E169" s="7"/>
      <x:c r="F169" s="7"/>
      <x:c r="G169" s="7"/>
      <x:c r="H169" s="7"/>
      <x:c r="I169" s="7"/>
      <x:c r="J169" s="8"/>
      <x:c r="K169" s="7"/>
      <x:c r="L169" s="7"/>
      <x:c r="M169" s="7"/>
      <x:c r="N169" s="7"/>
      <x:c r="O169" s="7"/>
      <x:c r="P169" s="7"/>
      <x:c r="Q169" s="3" t="str">
        <x:f>IF(COUNTA(A169:P169)=0,"",IFERROR(IF(AND(A169&lt;&gt;"",COUNTIF($A$2:$A$201,A169)=1,OR(LEFT(B169,2)="V-",LEFT(B169,4)="SYN-"),LEN(MID(B169,IF(LEFT(B169,2)="V-",3,5),30))&gt;0,ISNUMBER(VALUE(MID(B169,IF(LEFT(B169,2)="V-",3,5),30))),VALUE(MID(B169,IF(LEFT(B169,2)="V-",3,5),30))&gt;=0,MOD(VALUE(MID(B169,IF(LEFT(B169,2)="V-",3,5),30)),1)=0,COUNTIFS(Slots!$A$2:$A$31,"E2",Slots!$B$2:$B$31,C169)=1,ISNUMBER(SEARCH("|"&amp;D169&amp;"|","|"&amp;Settings!$B$9&amp;"|")),OR(E169="regular",E169="first"),OR(F169="include",F169="duplicate",F169="late"),OR(H169="yes",H169="no"),OR(I169="success",I169="failed",I169="unknown",I169="not_sent"),OR(K169="yes",K169="no",K169="none",K169="conflict",K169="unknown"),OR(L169="text",L169="emoji",L169="voice",L169="none",L169="unknown"),OR(M169="yes",M169="no",M169="unknown"),OR(N169="yes",N169="no",N169="unknown"),ISNUMBER(O169),OR(O169=0,O169=1),OR(P169="",P169="soft_yes",P169="forgot",P169="time_place",P169="clash",P169="travel",P169="personal",P169="unknown",P169="silent_but_came"),OR(I169&lt;&gt;"success",AND(J169&lt;&gt;"",COUNTIFS($J$2:$J$201,J169,$I$2:$I$201,"success")=1)),OR(I169&lt;&gt;"not_sent",J169=""),IF(F169="duplicate",AND(COUNTIFS($A$2:$A$201,G169,$B$2:$B$201,B169,$C$2:$C$201,C169,$F$2:$F$201,"include")=1,H169="no",I169="not_sent",K169="none",M169="no",N169="no",O169=0),AND(G169="",N169&lt;&gt;"unknown",COUNTIFS($B$2:$B$201,B169,$F$2:$F$201,"&lt;&gt;duplicate")=1)),IF(F169="include",AND(H169="yes",K169&lt;&gt;"conflict",K169&lt;&gt;"unknown",M169&lt;&gt;"unknown",IF(OR(K169="yes",K169="no"),AND(M169="yes",OR(L169="text",L169="emoji",L169="voice")),L169="none")),TRUE),IF(F169="late",AND(H169="no",I169="not_sent",K169="none",L169="none",O169=0),TRUE)),"OK","CHECK"),"CHECK"))</x:f>
      </x:c>
      <x:c r="R169" s="3"/>
    </x:row>
    <x:row r="170" ht="22" customHeight="1">
      <x:c r="A170" s="8"/>
      <x:c r="B170" s="8"/>
      <x:c r="C170" s="8"/>
      <x:c r="D170" s="8"/>
      <x:c r="E170" s="7"/>
      <x:c r="F170" s="7"/>
      <x:c r="G170" s="7"/>
      <x:c r="H170" s="7"/>
      <x:c r="I170" s="7"/>
      <x:c r="J170" s="8"/>
      <x:c r="K170" s="7"/>
      <x:c r="L170" s="7"/>
      <x:c r="M170" s="7"/>
      <x:c r="N170" s="7"/>
      <x:c r="O170" s="7"/>
      <x:c r="P170" s="7"/>
      <x:c r="Q170" s="3" t="str">
        <x:f>IF(COUNTA(A170:P170)=0,"",IFERROR(IF(AND(A170&lt;&gt;"",COUNTIF($A$2:$A$201,A170)=1,OR(LEFT(B170,2)="V-",LEFT(B170,4)="SYN-"),LEN(MID(B170,IF(LEFT(B170,2)="V-",3,5),30))&gt;0,ISNUMBER(VALUE(MID(B170,IF(LEFT(B170,2)="V-",3,5),30))),VALUE(MID(B170,IF(LEFT(B170,2)="V-",3,5),30))&gt;=0,MOD(VALUE(MID(B170,IF(LEFT(B170,2)="V-",3,5),30)),1)=0,COUNTIFS(Slots!$A$2:$A$31,"E2",Slots!$B$2:$B$31,C170)=1,ISNUMBER(SEARCH("|"&amp;D170&amp;"|","|"&amp;Settings!$B$9&amp;"|")),OR(E170="regular",E170="first"),OR(F170="include",F170="duplicate",F170="late"),OR(H170="yes",H170="no"),OR(I170="success",I170="failed",I170="unknown",I170="not_sent"),OR(K170="yes",K170="no",K170="none",K170="conflict",K170="unknown"),OR(L170="text",L170="emoji",L170="voice",L170="none",L170="unknown"),OR(M170="yes",M170="no",M170="unknown"),OR(N170="yes",N170="no",N170="unknown"),ISNUMBER(O170),OR(O170=0,O170=1),OR(P170="",P170="soft_yes",P170="forgot",P170="time_place",P170="clash",P170="travel",P170="personal",P170="unknown",P170="silent_but_came"),OR(I170&lt;&gt;"success",AND(J170&lt;&gt;"",COUNTIFS($J$2:$J$201,J170,$I$2:$I$201,"success")=1)),OR(I170&lt;&gt;"not_sent",J170=""),IF(F170="duplicate",AND(COUNTIFS($A$2:$A$201,G170,$B$2:$B$201,B170,$C$2:$C$201,C170,$F$2:$F$201,"include")=1,H170="no",I170="not_sent",K170="none",M170="no",N170="no",O170=0),AND(G170="",N170&lt;&gt;"unknown",COUNTIFS($B$2:$B$201,B170,$F$2:$F$201,"&lt;&gt;duplicate")=1)),IF(F170="include",AND(H170="yes",K170&lt;&gt;"conflict",K170&lt;&gt;"unknown",M170&lt;&gt;"unknown",IF(OR(K170="yes",K170="no"),AND(M170="yes",OR(L170="text",L170="emoji",L170="voice")),L170="none")),TRUE),IF(F170="late",AND(H170="no",I170="not_sent",K170="none",L170="none",O170=0),TRUE)),"OK","CHECK"),"CHECK"))</x:f>
      </x:c>
      <x:c r="R170" s="3"/>
    </x:row>
    <x:row r="171" ht="22" customHeight="1">
      <x:c r="A171" s="8"/>
      <x:c r="B171" s="8"/>
      <x:c r="C171" s="8"/>
      <x:c r="D171" s="8"/>
      <x:c r="E171" s="7"/>
      <x:c r="F171" s="7"/>
      <x:c r="G171" s="7"/>
      <x:c r="H171" s="7"/>
      <x:c r="I171" s="7"/>
      <x:c r="J171" s="8"/>
      <x:c r="K171" s="7"/>
      <x:c r="L171" s="7"/>
      <x:c r="M171" s="7"/>
      <x:c r="N171" s="7"/>
      <x:c r="O171" s="7"/>
      <x:c r="P171" s="7"/>
      <x:c r="Q171" s="3" t="str">
        <x:f>IF(COUNTA(A171:P171)=0,"",IFERROR(IF(AND(A171&lt;&gt;"",COUNTIF($A$2:$A$201,A171)=1,OR(LEFT(B171,2)="V-",LEFT(B171,4)="SYN-"),LEN(MID(B171,IF(LEFT(B171,2)="V-",3,5),30))&gt;0,ISNUMBER(VALUE(MID(B171,IF(LEFT(B171,2)="V-",3,5),30))),VALUE(MID(B171,IF(LEFT(B171,2)="V-",3,5),30))&gt;=0,MOD(VALUE(MID(B171,IF(LEFT(B171,2)="V-",3,5),30)),1)=0,COUNTIFS(Slots!$A$2:$A$31,"E2",Slots!$B$2:$B$31,C171)=1,ISNUMBER(SEARCH("|"&amp;D171&amp;"|","|"&amp;Settings!$B$9&amp;"|")),OR(E171="regular",E171="first"),OR(F171="include",F171="duplicate",F171="late"),OR(H171="yes",H171="no"),OR(I171="success",I171="failed",I171="unknown",I171="not_sent"),OR(K171="yes",K171="no",K171="none",K171="conflict",K171="unknown"),OR(L171="text",L171="emoji",L171="voice",L171="none",L171="unknown"),OR(M171="yes",M171="no",M171="unknown"),OR(N171="yes",N171="no",N171="unknown"),ISNUMBER(O171),OR(O171=0,O171=1),OR(P171="",P171="soft_yes",P171="forgot",P171="time_place",P171="clash",P171="travel",P171="personal",P171="unknown",P171="silent_but_came"),OR(I171&lt;&gt;"success",AND(J171&lt;&gt;"",COUNTIFS($J$2:$J$201,J171,$I$2:$I$201,"success")=1)),OR(I171&lt;&gt;"not_sent",J171=""),IF(F171="duplicate",AND(COUNTIFS($A$2:$A$201,G171,$B$2:$B$201,B171,$C$2:$C$201,C171,$F$2:$F$201,"include")=1,H171="no",I171="not_sent",K171="none",M171="no",N171="no",O171=0),AND(G171="",N171&lt;&gt;"unknown",COUNTIFS($B$2:$B$201,B171,$F$2:$F$201,"&lt;&gt;duplicate")=1)),IF(F171="include",AND(H171="yes",K171&lt;&gt;"conflict",K171&lt;&gt;"unknown",M171&lt;&gt;"unknown",IF(OR(K171="yes",K171="no"),AND(M171="yes",OR(L171="text",L171="emoji",L171="voice")),L171="none")),TRUE),IF(F171="late",AND(H171="no",I171="not_sent",K171="none",L171="none",O171=0),TRUE)),"OK","CHECK"),"CHECK"))</x:f>
      </x:c>
      <x:c r="R171" s="3"/>
    </x:row>
    <x:row r="172" ht="22" customHeight="1">
      <x:c r="A172" s="8"/>
      <x:c r="B172" s="8"/>
      <x:c r="C172" s="8"/>
      <x:c r="D172" s="8"/>
      <x:c r="E172" s="7"/>
      <x:c r="F172" s="7"/>
      <x:c r="G172" s="7"/>
      <x:c r="H172" s="7"/>
      <x:c r="I172" s="7"/>
      <x:c r="J172" s="8"/>
      <x:c r="K172" s="7"/>
      <x:c r="L172" s="7"/>
      <x:c r="M172" s="7"/>
      <x:c r="N172" s="7"/>
      <x:c r="O172" s="7"/>
      <x:c r="P172" s="7"/>
      <x:c r="Q172" s="3" t="str">
        <x:f>IF(COUNTA(A172:P172)=0,"",IFERROR(IF(AND(A172&lt;&gt;"",COUNTIF($A$2:$A$201,A172)=1,OR(LEFT(B172,2)="V-",LEFT(B172,4)="SYN-"),LEN(MID(B172,IF(LEFT(B172,2)="V-",3,5),30))&gt;0,ISNUMBER(VALUE(MID(B172,IF(LEFT(B172,2)="V-",3,5),30))),VALUE(MID(B172,IF(LEFT(B172,2)="V-",3,5),30))&gt;=0,MOD(VALUE(MID(B172,IF(LEFT(B172,2)="V-",3,5),30)),1)=0,COUNTIFS(Slots!$A$2:$A$31,"E2",Slots!$B$2:$B$31,C172)=1,ISNUMBER(SEARCH("|"&amp;D172&amp;"|","|"&amp;Settings!$B$9&amp;"|")),OR(E172="regular",E172="first"),OR(F172="include",F172="duplicate",F172="late"),OR(H172="yes",H172="no"),OR(I172="success",I172="failed",I172="unknown",I172="not_sent"),OR(K172="yes",K172="no",K172="none",K172="conflict",K172="unknown"),OR(L172="text",L172="emoji",L172="voice",L172="none",L172="unknown"),OR(M172="yes",M172="no",M172="unknown"),OR(N172="yes",N172="no",N172="unknown"),ISNUMBER(O172),OR(O172=0,O172=1),OR(P172="",P172="soft_yes",P172="forgot",P172="time_place",P172="clash",P172="travel",P172="personal",P172="unknown",P172="silent_but_came"),OR(I172&lt;&gt;"success",AND(J172&lt;&gt;"",COUNTIFS($J$2:$J$201,J172,$I$2:$I$201,"success")=1)),OR(I172&lt;&gt;"not_sent",J172=""),IF(F172="duplicate",AND(COUNTIFS($A$2:$A$201,G172,$B$2:$B$201,B172,$C$2:$C$201,C172,$F$2:$F$201,"include")=1,H172="no",I172="not_sent",K172="none",M172="no",N172="no",O172=0),AND(G172="",N172&lt;&gt;"unknown",COUNTIFS($B$2:$B$201,B172,$F$2:$F$201,"&lt;&gt;duplicate")=1)),IF(F172="include",AND(H172="yes",K172&lt;&gt;"conflict",K172&lt;&gt;"unknown",M172&lt;&gt;"unknown",IF(OR(K172="yes",K172="no"),AND(M172="yes",OR(L172="text",L172="emoji",L172="voice")),L172="none")),TRUE),IF(F172="late",AND(H172="no",I172="not_sent",K172="none",L172="none",O172=0),TRUE)),"OK","CHECK"),"CHECK"))</x:f>
      </x:c>
      <x:c r="R172" s="3"/>
    </x:row>
    <x:row r="173" ht="22" customHeight="1">
      <x:c r="A173" s="8"/>
      <x:c r="B173" s="8"/>
      <x:c r="C173" s="8"/>
      <x:c r="D173" s="8"/>
      <x:c r="E173" s="7"/>
      <x:c r="F173" s="7"/>
      <x:c r="G173" s="7"/>
      <x:c r="H173" s="7"/>
      <x:c r="I173" s="7"/>
      <x:c r="J173" s="8"/>
      <x:c r="K173" s="7"/>
      <x:c r="L173" s="7"/>
      <x:c r="M173" s="7"/>
      <x:c r="N173" s="7"/>
      <x:c r="O173" s="7"/>
      <x:c r="P173" s="7"/>
      <x:c r="Q173" s="3" t="str">
        <x:f>IF(COUNTA(A173:P173)=0,"",IFERROR(IF(AND(A173&lt;&gt;"",COUNTIF($A$2:$A$201,A173)=1,OR(LEFT(B173,2)="V-",LEFT(B173,4)="SYN-"),LEN(MID(B173,IF(LEFT(B173,2)="V-",3,5),30))&gt;0,ISNUMBER(VALUE(MID(B173,IF(LEFT(B173,2)="V-",3,5),30))),VALUE(MID(B173,IF(LEFT(B173,2)="V-",3,5),30))&gt;=0,MOD(VALUE(MID(B173,IF(LEFT(B173,2)="V-",3,5),30)),1)=0,COUNTIFS(Slots!$A$2:$A$31,"E2",Slots!$B$2:$B$31,C173)=1,ISNUMBER(SEARCH("|"&amp;D173&amp;"|","|"&amp;Settings!$B$9&amp;"|")),OR(E173="regular",E173="first"),OR(F173="include",F173="duplicate",F173="late"),OR(H173="yes",H173="no"),OR(I173="success",I173="failed",I173="unknown",I173="not_sent"),OR(K173="yes",K173="no",K173="none",K173="conflict",K173="unknown"),OR(L173="text",L173="emoji",L173="voice",L173="none",L173="unknown"),OR(M173="yes",M173="no",M173="unknown"),OR(N173="yes",N173="no",N173="unknown"),ISNUMBER(O173),OR(O173=0,O173=1),OR(P173="",P173="soft_yes",P173="forgot",P173="time_place",P173="clash",P173="travel",P173="personal",P173="unknown",P173="silent_but_came"),OR(I173&lt;&gt;"success",AND(J173&lt;&gt;"",COUNTIFS($J$2:$J$201,J173,$I$2:$I$201,"success")=1)),OR(I173&lt;&gt;"not_sent",J173=""),IF(F173="duplicate",AND(COUNTIFS($A$2:$A$201,G173,$B$2:$B$201,B173,$C$2:$C$201,C173,$F$2:$F$201,"include")=1,H173="no",I173="not_sent",K173="none",M173="no",N173="no",O173=0),AND(G173="",N173&lt;&gt;"unknown",COUNTIFS($B$2:$B$201,B173,$F$2:$F$201,"&lt;&gt;duplicate")=1)),IF(F173="include",AND(H173="yes",K173&lt;&gt;"conflict",K173&lt;&gt;"unknown",M173&lt;&gt;"unknown",IF(OR(K173="yes",K173="no"),AND(M173="yes",OR(L173="text",L173="emoji",L173="voice")),L173="none")),TRUE),IF(F173="late",AND(H173="no",I173="not_sent",K173="none",L173="none",O173=0),TRUE)),"OK","CHECK"),"CHECK"))</x:f>
      </x:c>
      <x:c r="R173" s="3"/>
    </x:row>
    <x:row r="174" ht="22" customHeight="1">
      <x:c r="A174" s="8"/>
      <x:c r="B174" s="8"/>
      <x:c r="C174" s="8"/>
      <x:c r="D174" s="8"/>
      <x:c r="E174" s="7"/>
      <x:c r="F174" s="7"/>
      <x:c r="G174" s="7"/>
      <x:c r="H174" s="7"/>
      <x:c r="I174" s="7"/>
      <x:c r="J174" s="8"/>
      <x:c r="K174" s="7"/>
      <x:c r="L174" s="7"/>
      <x:c r="M174" s="7"/>
      <x:c r="N174" s="7"/>
      <x:c r="O174" s="7"/>
      <x:c r="P174" s="7"/>
      <x:c r="Q174" s="3" t="str">
        <x:f>IF(COUNTA(A174:P174)=0,"",IFERROR(IF(AND(A174&lt;&gt;"",COUNTIF($A$2:$A$201,A174)=1,OR(LEFT(B174,2)="V-",LEFT(B174,4)="SYN-"),LEN(MID(B174,IF(LEFT(B174,2)="V-",3,5),30))&gt;0,ISNUMBER(VALUE(MID(B174,IF(LEFT(B174,2)="V-",3,5),30))),VALUE(MID(B174,IF(LEFT(B174,2)="V-",3,5),30))&gt;=0,MOD(VALUE(MID(B174,IF(LEFT(B174,2)="V-",3,5),30)),1)=0,COUNTIFS(Slots!$A$2:$A$31,"E2",Slots!$B$2:$B$31,C174)=1,ISNUMBER(SEARCH("|"&amp;D174&amp;"|","|"&amp;Settings!$B$9&amp;"|")),OR(E174="regular",E174="first"),OR(F174="include",F174="duplicate",F174="late"),OR(H174="yes",H174="no"),OR(I174="success",I174="failed",I174="unknown",I174="not_sent"),OR(K174="yes",K174="no",K174="none",K174="conflict",K174="unknown"),OR(L174="text",L174="emoji",L174="voice",L174="none",L174="unknown"),OR(M174="yes",M174="no",M174="unknown"),OR(N174="yes",N174="no",N174="unknown"),ISNUMBER(O174),OR(O174=0,O174=1),OR(P174="",P174="soft_yes",P174="forgot",P174="time_place",P174="clash",P174="travel",P174="personal",P174="unknown",P174="silent_but_came"),OR(I174&lt;&gt;"success",AND(J174&lt;&gt;"",COUNTIFS($J$2:$J$201,J174,$I$2:$I$201,"success")=1)),OR(I174&lt;&gt;"not_sent",J174=""),IF(F174="duplicate",AND(COUNTIFS($A$2:$A$201,G174,$B$2:$B$201,B174,$C$2:$C$201,C174,$F$2:$F$201,"include")=1,H174="no",I174="not_sent",K174="none",M174="no",N174="no",O174=0),AND(G174="",N174&lt;&gt;"unknown",COUNTIFS($B$2:$B$201,B174,$F$2:$F$201,"&lt;&gt;duplicate")=1)),IF(F174="include",AND(H174="yes",K174&lt;&gt;"conflict",K174&lt;&gt;"unknown",M174&lt;&gt;"unknown",IF(OR(K174="yes",K174="no"),AND(M174="yes",OR(L174="text",L174="emoji",L174="voice")),L174="none")),TRUE),IF(F174="late",AND(H174="no",I174="not_sent",K174="none",L174="none",O174=0),TRUE)),"OK","CHECK"),"CHECK"))</x:f>
      </x:c>
      <x:c r="R174" s="3"/>
    </x:row>
    <x:row r="175" ht="22" customHeight="1">
      <x:c r="A175" s="8"/>
      <x:c r="B175" s="8"/>
      <x:c r="C175" s="8"/>
      <x:c r="D175" s="8"/>
      <x:c r="E175" s="7"/>
      <x:c r="F175" s="7"/>
      <x:c r="G175" s="7"/>
      <x:c r="H175" s="7"/>
      <x:c r="I175" s="7"/>
      <x:c r="J175" s="8"/>
      <x:c r="K175" s="7"/>
      <x:c r="L175" s="7"/>
      <x:c r="M175" s="7"/>
      <x:c r="N175" s="7"/>
      <x:c r="O175" s="7"/>
      <x:c r="P175" s="7"/>
      <x:c r="Q175" s="3" t="str">
        <x:f>IF(COUNTA(A175:P175)=0,"",IFERROR(IF(AND(A175&lt;&gt;"",COUNTIF($A$2:$A$201,A175)=1,OR(LEFT(B175,2)="V-",LEFT(B175,4)="SYN-"),LEN(MID(B175,IF(LEFT(B175,2)="V-",3,5),30))&gt;0,ISNUMBER(VALUE(MID(B175,IF(LEFT(B175,2)="V-",3,5),30))),VALUE(MID(B175,IF(LEFT(B175,2)="V-",3,5),30))&gt;=0,MOD(VALUE(MID(B175,IF(LEFT(B175,2)="V-",3,5),30)),1)=0,COUNTIFS(Slots!$A$2:$A$31,"E2",Slots!$B$2:$B$31,C175)=1,ISNUMBER(SEARCH("|"&amp;D175&amp;"|","|"&amp;Settings!$B$9&amp;"|")),OR(E175="regular",E175="first"),OR(F175="include",F175="duplicate",F175="late"),OR(H175="yes",H175="no"),OR(I175="success",I175="failed",I175="unknown",I175="not_sent"),OR(K175="yes",K175="no",K175="none",K175="conflict",K175="unknown"),OR(L175="text",L175="emoji",L175="voice",L175="none",L175="unknown"),OR(M175="yes",M175="no",M175="unknown"),OR(N175="yes",N175="no",N175="unknown"),ISNUMBER(O175),OR(O175=0,O175=1),OR(P175="",P175="soft_yes",P175="forgot",P175="time_place",P175="clash",P175="travel",P175="personal",P175="unknown",P175="silent_but_came"),OR(I175&lt;&gt;"success",AND(J175&lt;&gt;"",COUNTIFS($J$2:$J$201,J175,$I$2:$I$201,"success")=1)),OR(I175&lt;&gt;"not_sent",J175=""),IF(F175="duplicate",AND(COUNTIFS($A$2:$A$201,G175,$B$2:$B$201,B175,$C$2:$C$201,C175,$F$2:$F$201,"include")=1,H175="no",I175="not_sent",K175="none",M175="no",N175="no",O175=0),AND(G175="",N175&lt;&gt;"unknown",COUNTIFS($B$2:$B$201,B175,$F$2:$F$201,"&lt;&gt;duplicate")=1)),IF(F175="include",AND(H175="yes",K175&lt;&gt;"conflict",K175&lt;&gt;"unknown",M175&lt;&gt;"unknown",IF(OR(K175="yes",K175="no"),AND(M175="yes",OR(L175="text",L175="emoji",L175="voice")),L175="none")),TRUE),IF(F175="late",AND(H175="no",I175="not_sent",K175="none",L175="none",O175=0),TRUE)),"OK","CHECK"),"CHECK"))</x:f>
      </x:c>
      <x:c r="R175" s="3"/>
    </x:row>
    <x:row r="176" ht="22" customHeight="1">
      <x:c r="A176" s="8"/>
      <x:c r="B176" s="8"/>
      <x:c r="C176" s="8"/>
      <x:c r="D176" s="8"/>
      <x:c r="E176" s="7"/>
      <x:c r="F176" s="7"/>
      <x:c r="G176" s="7"/>
      <x:c r="H176" s="7"/>
      <x:c r="I176" s="7"/>
      <x:c r="J176" s="8"/>
      <x:c r="K176" s="7"/>
      <x:c r="L176" s="7"/>
      <x:c r="M176" s="7"/>
      <x:c r="N176" s="7"/>
      <x:c r="O176" s="7"/>
      <x:c r="P176" s="7"/>
      <x:c r="Q176" s="3" t="str">
        <x:f>IF(COUNTA(A176:P176)=0,"",IFERROR(IF(AND(A176&lt;&gt;"",COUNTIF($A$2:$A$201,A176)=1,OR(LEFT(B176,2)="V-",LEFT(B176,4)="SYN-"),LEN(MID(B176,IF(LEFT(B176,2)="V-",3,5),30))&gt;0,ISNUMBER(VALUE(MID(B176,IF(LEFT(B176,2)="V-",3,5),30))),VALUE(MID(B176,IF(LEFT(B176,2)="V-",3,5),30))&gt;=0,MOD(VALUE(MID(B176,IF(LEFT(B176,2)="V-",3,5),30)),1)=0,COUNTIFS(Slots!$A$2:$A$31,"E2",Slots!$B$2:$B$31,C176)=1,ISNUMBER(SEARCH("|"&amp;D176&amp;"|","|"&amp;Settings!$B$9&amp;"|")),OR(E176="regular",E176="first"),OR(F176="include",F176="duplicate",F176="late"),OR(H176="yes",H176="no"),OR(I176="success",I176="failed",I176="unknown",I176="not_sent"),OR(K176="yes",K176="no",K176="none",K176="conflict",K176="unknown"),OR(L176="text",L176="emoji",L176="voice",L176="none",L176="unknown"),OR(M176="yes",M176="no",M176="unknown"),OR(N176="yes",N176="no",N176="unknown"),ISNUMBER(O176),OR(O176=0,O176=1),OR(P176="",P176="soft_yes",P176="forgot",P176="time_place",P176="clash",P176="travel",P176="personal",P176="unknown",P176="silent_but_came"),OR(I176&lt;&gt;"success",AND(J176&lt;&gt;"",COUNTIFS($J$2:$J$201,J176,$I$2:$I$201,"success")=1)),OR(I176&lt;&gt;"not_sent",J176=""),IF(F176="duplicate",AND(COUNTIFS($A$2:$A$201,G176,$B$2:$B$201,B176,$C$2:$C$201,C176,$F$2:$F$201,"include")=1,H176="no",I176="not_sent",K176="none",M176="no",N176="no",O176=0),AND(G176="",N176&lt;&gt;"unknown",COUNTIFS($B$2:$B$201,B176,$F$2:$F$201,"&lt;&gt;duplicate")=1)),IF(F176="include",AND(H176="yes",K176&lt;&gt;"conflict",K176&lt;&gt;"unknown",M176&lt;&gt;"unknown",IF(OR(K176="yes",K176="no"),AND(M176="yes",OR(L176="text",L176="emoji",L176="voice")),L176="none")),TRUE),IF(F176="late",AND(H176="no",I176="not_sent",K176="none",L176="none",O176=0),TRUE)),"OK","CHECK"),"CHECK"))</x:f>
      </x:c>
      <x:c r="R176" s="3"/>
    </x:row>
    <x:row r="177" ht="22" customHeight="1">
      <x:c r="A177" s="8"/>
      <x:c r="B177" s="8"/>
      <x:c r="C177" s="8"/>
      <x:c r="D177" s="8"/>
      <x:c r="E177" s="7"/>
      <x:c r="F177" s="7"/>
      <x:c r="G177" s="7"/>
      <x:c r="H177" s="7"/>
      <x:c r="I177" s="7"/>
      <x:c r="J177" s="8"/>
      <x:c r="K177" s="7"/>
      <x:c r="L177" s="7"/>
      <x:c r="M177" s="7"/>
      <x:c r="N177" s="7"/>
      <x:c r="O177" s="7"/>
      <x:c r="P177" s="7"/>
      <x:c r="Q177" s="3" t="str">
        <x:f>IF(COUNTA(A177:P177)=0,"",IFERROR(IF(AND(A177&lt;&gt;"",COUNTIF($A$2:$A$201,A177)=1,OR(LEFT(B177,2)="V-",LEFT(B177,4)="SYN-"),LEN(MID(B177,IF(LEFT(B177,2)="V-",3,5),30))&gt;0,ISNUMBER(VALUE(MID(B177,IF(LEFT(B177,2)="V-",3,5),30))),VALUE(MID(B177,IF(LEFT(B177,2)="V-",3,5),30))&gt;=0,MOD(VALUE(MID(B177,IF(LEFT(B177,2)="V-",3,5),30)),1)=0,COUNTIFS(Slots!$A$2:$A$31,"E2",Slots!$B$2:$B$31,C177)=1,ISNUMBER(SEARCH("|"&amp;D177&amp;"|","|"&amp;Settings!$B$9&amp;"|")),OR(E177="regular",E177="first"),OR(F177="include",F177="duplicate",F177="late"),OR(H177="yes",H177="no"),OR(I177="success",I177="failed",I177="unknown",I177="not_sent"),OR(K177="yes",K177="no",K177="none",K177="conflict",K177="unknown"),OR(L177="text",L177="emoji",L177="voice",L177="none",L177="unknown"),OR(M177="yes",M177="no",M177="unknown"),OR(N177="yes",N177="no",N177="unknown"),ISNUMBER(O177),OR(O177=0,O177=1),OR(P177="",P177="soft_yes",P177="forgot",P177="time_place",P177="clash",P177="travel",P177="personal",P177="unknown",P177="silent_but_came"),OR(I177&lt;&gt;"success",AND(J177&lt;&gt;"",COUNTIFS($J$2:$J$201,J177,$I$2:$I$201,"success")=1)),OR(I177&lt;&gt;"not_sent",J177=""),IF(F177="duplicate",AND(COUNTIFS($A$2:$A$201,G177,$B$2:$B$201,B177,$C$2:$C$201,C177,$F$2:$F$201,"include")=1,H177="no",I177="not_sent",K177="none",M177="no",N177="no",O177=0),AND(G177="",N177&lt;&gt;"unknown",COUNTIFS($B$2:$B$201,B177,$F$2:$F$201,"&lt;&gt;duplicate")=1)),IF(F177="include",AND(H177="yes",K177&lt;&gt;"conflict",K177&lt;&gt;"unknown",M177&lt;&gt;"unknown",IF(OR(K177="yes",K177="no"),AND(M177="yes",OR(L177="text",L177="emoji",L177="voice")),L177="none")),TRUE),IF(F177="late",AND(H177="no",I177="not_sent",K177="none",L177="none",O177=0),TRUE)),"OK","CHECK"),"CHECK"))</x:f>
      </x:c>
      <x:c r="R177" s="3"/>
    </x:row>
    <x:row r="178" ht="22" customHeight="1">
      <x:c r="A178" s="8"/>
      <x:c r="B178" s="8"/>
      <x:c r="C178" s="8"/>
      <x:c r="D178" s="8"/>
      <x:c r="E178" s="7"/>
      <x:c r="F178" s="7"/>
      <x:c r="G178" s="7"/>
      <x:c r="H178" s="7"/>
      <x:c r="I178" s="7"/>
      <x:c r="J178" s="8"/>
      <x:c r="K178" s="7"/>
      <x:c r="L178" s="7"/>
      <x:c r="M178" s="7"/>
      <x:c r="N178" s="7"/>
      <x:c r="O178" s="7"/>
      <x:c r="P178" s="7"/>
      <x:c r="Q178" s="3" t="str">
        <x:f>IF(COUNTA(A178:P178)=0,"",IFERROR(IF(AND(A178&lt;&gt;"",COUNTIF($A$2:$A$201,A178)=1,OR(LEFT(B178,2)="V-",LEFT(B178,4)="SYN-"),LEN(MID(B178,IF(LEFT(B178,2)="V-",3,5),30))&gt;0,ISNUMBER(VALUE(MID(B178,IF(LEFT(B178,2)="V-",3,5),30))),VALUE(MID(B178,IF(LEFT(B178,2)="V-",3,5),30))&gt;=0,MOD(VALUE(MID(B178,IF(LEFT(B178,2)="V-",3,5),30)),1)=0,COUNTIFS(Slots!$A$2:$A$31,"E2",Slots!$B$2:$B$31,C178)=1,ISNUMBER(SEARCH("|"&amp;D178&amp;"|","|"&amp;Settings!$B$9&amp;"|")),OR(E178="regular",E178="first"),OR(F178="include",F178="duplicate",F178="late"),OR(H178="yes",H178="no"),OR(I178="success",I178="failed",I178="unknown",I178="not_sent"),OR(K178="yes",K178="no",K178="none",K178="conflict",K178="unknown"),OR(L178="text",L178="emoji",L178="voice",L178="none",L178="unknown"),OR(M178="yes",M178="no",M178="unknown"),OR(N178="yes",N178="no",N178="unknown"),ISNUMBER(O178),OR(O178=0,O178=1),OR(P178="",P178="soft_yes",P178="forgot",P178="time_place",P178="clash",P178="travel",P178="personal",P178="unknown",P178="silent_but_came"),OR(I178&lt;&gt;"success",AND(J178&lt;&gt;"",COUNTIFS($J$2:$J$201,J178,$I$2:$I$201,"success")=1)),OR(I178&lt;&gt;"not_sent",J178=""),IF(F178="duplicate",AND(COUNTIFS($A$2:$A$201,G178,$B$2:$B$201,B178,$C$2:$C$201,C178,$F$2:$F$201,"include")=1,H178="no",I178="not_sent",K178="none",M178="no",N178="no",O178=0),AND(G178="",N178&lt;&gt;"unknown",COUNTIFS($B$2:$B$201,B178,$F$2:$F$201,"&lt;&gt;duplicate")=1)),IF(F178="include",AND(H178="yes",K178&lt;&gt;"conflict",K178&lt;&gt;"unknown",M178&lt;&gt;"unknown",IF(OR(K178="yes",K178="no"),AND(M178="yes",OR(L178="text",L178="emoji",L178="voice")),L178="none")),TRUE),IF(F178="late",AND(H178="no",I178="not_sent",K178="none",L178="none",O178=0),TRUE)),"OK","CHECK"),"CHECK"))</x:f>
      </x:c>
      <x:c r="R178" s="3"/>
    </x:row>
    <x:row r="179" ht="22" customHeight="1">
      <x:c r="A179" s="8"/>
      <x:c r="B179" s="8"/>
      <x:c r="C179" s="8"/>
      <x:c r="D179" s="8"/>
      <x:c r="E179" s="7"/>
      <x:c r="F179" s="7"/>
      <x:c r="G179" s="7"/>
      <x:c r="H179" s="7"/>
      <x:c r="I179" s="7"/>
      <x:c r="J179" s="8"/>
      <x:c r="K179" s="7"/>
      <x:c r="L179" s="7"/>
      <x:c r="M179" s="7"/>
      <x:c r="N179" s="7"/>
      <x:c r="O179" s="7"/>
      <x:c r="P179" s="7"/>
      <x:c r="Q179" s="3" t="str">
        <x:f>IF(COUNTA(A179:P179)=0,"",IFERROR(IF(AND(A179&lt;&gt;"",COUNTIF($A$2:$A$201,A179)=1,OR(LEFT(B179,2)="V-",LEFT(B179,4)="SYN-"),LEN(MID(B179,IF(LEFT(B179,2)="V-",3,5),30))&gt;0,ISNUMBER(VALUE(MID(B179,IF(LEFT(B179,2)="V-",3,5),30))),VALUE(MID(B179,IF(LEFT(B179,2)="V-",3,5),30))&gt;=0,MOD(VALUE(MID(B179,IF(LEFT(B179,2)="V-",3,5),30)),1)=0,COUNTIFS(Slots!$A$2:$A$31,"E2",Slots!$B$2:$B$31,C179)=1,ISNUMBER(SEARCH("|"&amp;D179&amp;"|","|"&amp;Settings!$B$9&amp;"|")),OR(E179="regular",E179="first"),OR(F179="include",F179="duplicate",F179="late"),OR(H179="yes",H179="no"),OR(I179="success",I179="failed",I179="unknown",I179="not_sent"),OR(K179="yes",K179="no",K179="none",K179="conflict",K179="unknown"),OR(L179="text",L179="emoji",L179="voice",L179="none",L179="unknown"),OR(M179="yes",M179="no",M179="unknown"),OR(N179="yes",N179="no",N179="unknown"),ISNUMBER(O179),OR(O179=0,O179=1),OR(P179="",P179="soft_yes",P179="forgot",P179="time_place",P179="clash",P179="travel",P179="personal",P179="unknown",P179="silent_but_came"),OR(I179&lt;&gt;"success",AND(J179&lt;&gt;"",COUNTIFS($J$2:$J$201,J179,$I$2:$I$201,"success")=1)),OR(I179&lt;&gt;"not_sent",J179=""),IF(F179="duplicate",AND(COUNTIFS($A$2:$A$201,G179,$B$2:$B$201,B179,$C$2:$C$201,C179,$F$2:$F$201,"include")=1,H179="no",I179="not_sent",K179="none",M179="no",N179="no",O179=0),AND(G179="",N179&lt;&gt;"unknown",COUNTIFS($B$2:$B$201,B179,$F$2:$F$201,"&lt;&gt;duplicate")=1)),IF(F179="include",AND(H179="yes",K179&lt;&gt;"conflict",K179&lt;&gt;"unknown",M179&lt;&gt;"unknown",IF(OR(K179="yes",K179="no"),AND(M179="yes",OR(L179="text",L179="emoji",L179="voice")),L179="none")),TRUE),IF(F179="late",AND(H179="no",I179="not_sent",K179="none",L179="none",O179=0),TRUE)),"OK","CHECK"),"CHECK"))</x:f>
      </x:c>
      <x:c r="R179" s="3"/>
    </x:row>
    <x:row r="180" ht="22" customHeight="1">
      <x:c r="A180" s="8"/>
      <x:c r="B180" s="8"/>
      <x:c r="C180" s="8"/>
      <x:c r="D180" s="8"/>
      <x:c r="E180" s="7"/>
      <x:c r="F180" s="7"/>
      <x:c r="G180" s="7"/>
      <x:c r="H180" s="7"/>
      <x:c r="I180" s="7"/>
      <x:c r="J180" s="8"/>
      <x:c r="K180" s="7"/>
      <x:c r="L180" s="7"/>
      <x:c r="M180" s="7"/>
      <x:c r="N180" s="7"/>
      <x:c r="O180" s="7"/>
      <x:c r="P180" s="7"/>
      <x:c r="Q180" s="3" t="str">
        <x:f>IF(COUNTA(A180:P180)=0,"",IFERROR(IF(AND(A180&lt;&gt;"",COUNTIF($A$2:$A$201,A180)=1,OR(LEFT(B180,2)="V-",LEFT(B180,4)="SYN-"),LEN(MID(B180,IF(LEFT(B180,2)="V-",3,5),30))&gt;0,ISNUMBER(VALUE(MID(B180,IF(LEFT(B180,2)="V-",3,5),30))),VALUE(MID(B180,IF(LEFT(B180,2)="V-",3,5),30))&gt;=0,MOD(VALUE(MID(B180,IF(LEFT(B180,2)="V-",3,5),30)),1)=0,COUNTIFS(Slots!$A$2:$A$31,"E2",Slots!$B$2:$B$31,C180)=1,ISNUMBER(SEARCH("|"&amp;D180&amp;"|","|"&amp;Settings!$B$9&amp;"|")),OR(E180="regular",E180="first"),OR(F180="include",F180="duplicate",F180="late"),OR(H180="yes",H180="no"),OR(I180="success",I180="failed",I180="unknown",I180="not_sent"),OR(K180="yes",K180="no",K180="none",K180="conflict",K180="unknown"),OR(L180="text",L180="emoji",L180="voice",L180="none",L180="unknown"),OR(M180="yes",M180="no",M180="unknown"),OR(N180="yes",N180="no",N180="unknown"),ISNUMBER(O180),OR(O180=0,O180=1),OR(P180="",P180="soft_yes",P180="forgot",P180="time_place",P180="clash",P180="travel",P180="personal",P180="unknown",P180="silent_but_came"),OR(I180&lt;&gt;"success",AND(J180&lt;&gt;"",COUNTIFS($J$2:$J$201,J180,$I$2:$I$201,"success")=1)),OR(I180&lt;&gt;"not_sent",J180=""),IF(F180="duplicate",AND(COUNTIFS($A$2:$A$201,G180,$B$2:$B$201,B180,$C$2:$C$201,C180,$F$2:$F$201,"include")=1,H180="no",I180="not_sent",K180="none",M180="no",N180="no",O180=0),AND(G180="",N180&lt;&gt;"unknown",COUNTIFS($B$2:$B$201,B180,$F$2:$F$201,"&lt;&gt;duplicate")=1)),IF(F180="include",AND(H180="yes",K180&lt;&gt;"conflict",K180&lt;&gt;"unknown",M180&lt;&gt;"unknown",IF(OR(K180="yes",K180="no"),AND(M180="yes",OR(L180="text",L180="emoji",L180="voice")),L180="none")),TRUE),IF(F180="late",AND(H180="no",I180="not_sent",K180="none",L180="none",O180=0),TRUE)),"OK","CHECK"),"CHECK"))</x:f>
      </x:c>
      <x:c r="R180" s="3"/>
    </x:row>
    <x:row r="181" ht="22" customHeight="1">
      <x:c r="A181" s="8"/>
      <x:c r="B181" s="8"/>
      <x:c r="C181" s="8"/>
      <x:c r="D181" s="8"/>
      <x:c r="E181" s="7"/>
      <x:c r="F181" s="7"/>
      <x:c r="G181" s="7"/>
      <x:c r="H181" s="7"/>
      <x:c r="I181" s="7"/>
      <x:c r="J181" s="8"/>
      <x:c r="K181" s="7"/>
      <x:c r="L181" s="7"/>
      <x:c r="M181" s="7"/>
      <x:c r="N181" s="7"/>
      <x:c r="O181" s="7"/>
      <x:c r="P181" s="7"/>
      <x:c r="Q181" s="3" t="str">
        <x:f>IF(COUNTA(A181:P181)=0,"",IFERROR(IF(AND(A181&lt;&gt;"",COUNTIF($A$2:$A$201,A181)=1,OR(LEFT(B181,2)="V-",LEFT(B181,4)="SYN-"),LEN(MID(B181,IF(LEFT(B181,2)="V-",3,5),30))&gt;0,ISNUMBER(VALUE(MID(B181,IF(LEFT(B181,2)="V-",3,5),30))),VALUE(MID(B181,IF(LEFT(B181,2)="V-",3,5),30))&gt;=0,MOD(VALUE(MID(B181,IF(LEFT(B181,2)="V-",3,5),30)),1)=0,COUNTIFS(Slots!$A$2:$A$31,"E2",Slots!$B$2:$B$31,C181)=1,ISNUMBER(SEARCH("|"&amp;D181&amp;"|","|"&amp;Settings!$B$9&amp;"|")),OR(E181="regular",E181="first"),OR(F181="include",F181="duplicate",F181="late"),OR(H181="yes",H181="no"),OR(I181="success",I181="failed",I181="unknown",I181="not_sent"),OR(K181="yes",K181="no",K181="none",K181="conflict",K181="unknown"),OR(L181="text",L181="emoji",L181="voice",L181="none",L181="unknown"),OR(M181="yes",M181="no",M181="unknown"),OR(N181="yes",N181="no",N181="unknown"),ISNUMBER(O181),OR(O181=0,O181=1),OR(P181="",P181="soft_yes",P181="forgot",P181="time_place",P181="clash",P181="travel",P181="personal",P181="unknown",P181="silent_but_came"),OR(I181&lt;&gt;"success",AND(J181&lt;&gt;"",COUNTIFS($J$2:$J$201,J181,$I$2:$I$201,"success")=1)),OR(I181&lt;&gt;"not_sent",J181=""),IF(F181="duplicate",AND(COUNTIFS($A$2:$A$201,G181,$B$2:$B$201,B181,$C$2:$C$201,C181,$F$2:$F$201,"include")=1,H181="no",I181="not_sent",K181="none",M181="no",N181="no",O181=0),AND(G181="",N181&lt;&gt;"unknown",COUNTIFS($B$2:$B$201,B181,$F$2:$F$201,"&lt;&gt;duplicate")=1)),IF(F181="include",AND(H181="yes",K181&lt;&gt;"conflict",K181&lt;&gt;"unknown",M181&lt;&gt;"unknown",IF(OR(K181="yes",K181="no"),AND(M181="yes",OR(L181="text",L181="emoji",L181="voice")),L181="none")),TRUE),IF(F181="late",AND(H181="no",I181="not_sent",K181="none",L181="none",O181=0),TRUE)),"OK","CHECK"),"CHECK"))</x:f>
      </x:c>
      <x:c r="R181" s="3"/>
    </x:row>
    <x:row r="182" ht="22" customHeight="1">
      <x:c r="A182" s="8"/>
      <x:c r="B182" s="8"/>
      <x:c r="C182" s="8"/>
      <x:c r="D182" s="8"/>
      <x:c r="E182" s="7"/>
      <x:c r="F182" s="7"/>
      <x:c r="G182" s="7"/>
      <x:c r="H182" s="7"/>
      <x:c r="I182" s="7"/>
      <x:c r="J182" s="8"/>
      <x:c r="K182" s="7"/>
      <x:c r="L182" s="7"/>
      <x:c r="M182" s="7"/>
      <x:c r="N182" s="7"/>
      <x:c r="O182" s="7"/>
      <x:c r="P182" s="7"/>
      <x:c r="Q182" s="3" t="str">
        <x:f>IF(COUNTA(A182:P182)=0,"",IFERROR(IF(AND(A182&lt;&gt;"",COUNTIF($A$2:$A$201,A182)=1,OR(LEFT(B182,2)="V-",LEFT(B182,4)="SYN-"),LEN(MID(B182,IF(LEFT(B182,2)="V-",3,5),30))&gt;0,ISNUMBER(VALUE(MID(B182,IF(LEFT(B182,2)="V-",3,5),30))),VALUE(MID(B182,IF(LEFT(B182,2)="V-",3,5),30))&gt;=0,MOD(VALUE(MID(B182,IF(LEFT(B182,2)="V-",3,5),30)),1)=0,COUNTIFS(Slots!$A$2:$A$31,"E2",Slots!$B$2:$B$31,C182)=1,ISNUMBER(SEARCH("|"&amp;D182&amp;"|","|"&amp;Settings!$B$9&amp;"|")),OR(E182="regular",E182="first"),OR(F182="include",F182="duplicate",F182="late"),OR(H182="yes",H182="no"),OR(I182="success",I182="failed",I182="unknown",I182="not_sent"),OR(K182="yes",K182="no",K182="none",K182="conflict",K182="unknown"),OR(L182="text",L182="emoji",L182="voice",L182="none",L182="unknown"),OR(M182="yes",M182="no",M182="unknown"),OR(N182="yes",N182="no",N182="unknown"),ISNUMBER(O182),OR(O182=0,O182=1),OR(P182="",P182="soft_yes",P182="forgot",P182="time_place",P182="clash",P182="travel",P182="personal",P182="unknown",P182="silent_but_came"),OR(I182&lt;&gt;"success",AND(J182&lt;&gt;"",COUNTIFS($J$2:$J$201,J182,$I$2:$I$201,"success")=1)),OR(I182&lt;&gt;"not_sent",J182=""),IF(F182="duplicate",AND(COUNTIFS($A$2:$A$201,G182,$B$2:$B$201,B182,$C$2:$C$201,C182,$F$2:$F$201,"include")=1,H182="no",I182="not_sent",K182="none",M182="no",N182="no",O182=0),AND(G182="",N182&lt;&gt;"unknown",COUNTIFS($B$2:$B$201,B182,$F$2:$F$201,"&lt;&gt;duplicate")=1)),IF(F182="include",AND(H182="yes",K182&lt;&gt;"conflict",K182&lt;&gt;"unknown",M182&lt;&gt;"unknown",IF(OR(K182="yes",K182="no"),AND(M182="yes",OR(L182="text",L182="emoji",L182="voice")),L182="none")),TRUE),IF(F182="late",AND(H182="no",I182="not_sent",K182="none",L182="none",O182=0),TRUE)),"OK","CHECK"),"CHECK"))</x:f>
      </x:c>
      <x:c r="R182" s="3"/>
    </x:row>
    <x:row r="183" ht="22" customHeight="1">
      <x:c r="A183" s="8"/>
      <x:c r="B183" s="8"/>
      <x:c r="C183" s="8"/>
      <x:c r="D183" s="8"/>
      <x:c r="E183" s="7"/>
      <x:c r="F183" s="7"/>
      <x:c r="G183" s="7"/>
      <x:c r="H183" s="7"/>
      <x:c r="I183" s="7"/>
      <x:c r="J183" s="8"/>
      <x:c r="K183" s="7"/>
      <x:c r="L183" s="7"/>
      <x:c r="M183" s="7"/>
      <x:c r="N183" s="7"/>
      <x:c r="O183" s="7"/>
      <x:c r="P183" s="7"/>
      <x:c r="Q183" s="3" t="str">
        <x:f>IF(COUNTA(A183:P183)=0,"",IFERROR(IF(AND(A183&lt;&gt;"",COUNTIF($A$2:$A$201,A183)=1,OR(LEFT(B183,2)="V-",LEFT(B183,4)="SYN-"),LEN(MID(B183,IF(LEFT(B183,2)="V-",3,5),30))&gt;0,ISNUMBER(VALUE(MID(B183,IF(LEFT(B183,2)="V-",3,5),30))),VALUE(MID(B183,IF(LEFT(B183,2)="V-",3,5),30))&gt;=0,MOD(VALUE(MID(B183,IF(LEFT(B183,2)="V-",3,5),30)),1)=0,COUNTIFS(Slots!$A$2:$A$31,"E2",Slots!$B$2:$B$31,C183)=1,ISNUMBER(SEARCH("|"&amp;D183&amp;"|","|"&amp;Settings!$B$9&amp;"|")),OR(E183="regular",E183="first"),OR(F183="include",F183="duplicate",F183="late"),OR(H183="yes",H183="no"),OR(I183="success",I183="failed",I183="unknown",I183="not_sent"),OR(K183="yes",K183="no",K183="none",K183="conflict",K183="unknown"),OR(L183="text",L183="emoji",L183="voice",L183="none",L183="unknown"),OR(M183="yes",M183="no",M183="unknown"),OR(N183="yes",N183="no",N183="unknown"),ISNUMBER(O183),OR(O183=0,O183=1),OR(P183="",P183="soft_yes",P183="forgot",P183="time_place",P183="clash",P183="travel",P183="personal",P183="unknown",P183="silent_but_came"),OR(I183&lt;&gt;"success",AND(J183&lt;&gt;"",COUNTIFS($J$2:$J$201,J183,$I$2:$I$201,"success")=1)),OR(I183&lt;&gt;"not_sent",J183=""),IF(F183="duplicate",AND(COUNTIFS($A$2:$A$201,G183,$B$2:$B$201,B183,$C$2:$C$201,C183,$F$2:$F$201,"include")=1,H183="no",I183="not_sent",K183="none",M183="no",N183="no",O183=0),AND(G183="",N183&lt;&gt;"unknown",COUNTIFS($B$2:$B$201,B183,$F$2:$F$201,"&lt;&gt;duplicate")=1)),IF(F183="include",AND(H183="yes",K183&lt;&gt;"conflict",K183&lt;&gt;"unknown",M183&lt;&gt;"unknown",IF(OR(K183="yes",K183="no"),AND(M183="yes",OR(L183="text",L183="emoji",L183="voice")),L183="none")),TRUE),IF(F183="late",AND(H183="no",I183="not_sent",K183="none",L183="none",O183=0),TRUE)),"OK","CHECK"),"CHECK"))</x:f>
      </x:c>
      <x:c r="R183" s="3"/>
    </x:row>
    <x:row r="184" ht="22" customHeight="1">
      <x:c r="A184" s="8"/>
      <x:c r="B184" s="8"/>
      <x:c r="C184" s="8"/>
      <x:c r="D184" s="8"/>
      <x:c r="E184" s="7"/>
      <x:c r="F184" s="7"/>
      <x:c r="G184" s="7"/>
      <x:c r="H184" s="7"/>
      <x:c r="I184" s="7"/>
      <x:c r="J184" s="8"/>
      <x:c r="K184" s="7"/>
      <x:c r="L184" s="7"/>
      <x:c r="M184" s="7"/>
      <x:c r="N184" s="7"/>
      <x:c r="O184" s="7"/>
      <x:c r="P184" s="7"/>
      <x:c r="Q184" s="3" t="str">
        <x:f>IF(COUNTA(A184:P184)=0,"",IFERROR(IF(AND(A184&lt;&gt;"",COUNTIF($A$2:$A$201,A184)=1,OR(LEFT(B184,2)="V-",LEFT(B184,4)="SYN-"),LEN(MID(B184,IF(LEFT(B184,2)="V-",3,5),30))&gt;0,ISNUMBER(VALUE(MID(B184,IF(LEFT(B184,2)="V-",3,5),30))),VALUE(MID(B184,IF(LEFT(B184,2)="V-",3,5),30))&gt;=0,MOD(VALUE(MID(B184,IF(LEFT(B184,2)="V-",3,5),30)),1)=0,COUNTIFS(Slots!$A$2:$A$31,"E2",Slots!$B$2:$B$31,C184)=1,ISNUMBER(SEARCH("|"&amp;D184&amp;"|","|"&amp;Settings!$B$9&amp;"|")),OR(E184="regular",E184="first"),OR(F184="include",F184="duplicate",F184="late"),OR(H184="yes",H184="no"),OR(I184="success",I184="failed",I184="unknown",I184="not_sent"),OR(K184="yes",K184="no",K184="none",K184="conflict",K184="unknown"),OR(L184="text",L184="emoji",L184="voice",L184="none",L184="unknown"),OR(M184="yes",M184="no",M184="unknown"),OR(N184="yes",N184="no",N184="unknown"),ISNUMBER(O184),OR(O184=0,O184=1),OR(P184="",P184="soft_yes",P184="forgot",P184="time_place",P184="clash",P184="travel",P184="personal",P184="unknown",P184="silent_but_came"),OR(I184&lt;&gt;"success",AND(J184&lt;&gt;"",COUNTIFS($J$2:$J$201,J184,$I$2:$I$201,"success")=1)),OR(I184&lt;&gt;"not_sent",J184=""),IF(F184="duplicate",AND(COUNTIFS($A$2:$A$201,G184,$B$2:$B$201,B184,$C$2:$C$201,C184,$F$2:$F$201,"include")=1,H184="no",I184="not_sent",K184="none",M184="no",N184="no",O184=0),AND(G184="",N184&lt;&gt;"unknown",COUNTIFS($B$2:$B$201,B184,$F$2:$F$201,"&lt;&gt;duplicate")=1)),IF(F184="include",AND(H184="yes",K184&lt;&gt;"conflict",K184&lt;&gt;"unknown",M184&lt;&gt;"unknown",IF(OR(K184="yes",K184="no"),AND(M184="yes",OR(L184="text",L184="emoji",L184="voice")),L184="none")),TRUE),IF(F184="late",AND(H184="no",I184="not_sent",K184="none",L184="none",O184=0),TRUE)),"OK","CHECK"),"CHECK"))</x:f>
      </x:c>
      <x:c r="R184" s="3"/>
    </x:row>
    <x:row r="185" ht="22" customHeight="1">
      <x:c r="A185" s="8"/>
      <x:c r="B185" s="8"/>
      <x:c r="C185" s="8"/>
      <x:c r="D185" s="8"/>
      <x:c r="E185" s="7"/>
      <x:c r="F185" s="7"/>
      <x:c r="G185" s="7"/>
      <x:c r="H185" s="7"/>
      <x:c r="I185" s="7"/>
      <x:c r="J185" s="8"/>
      <x:c r="K185" s="7"/>
      <x:c r="L185" s="7"/>
      <x:c r="M185" s="7"/>
      <x:c r="N185" s="7"/>
      <x:c r="O185" s="7"/>
      <x:c r="P185" s="7"/>
      <x:c r="Q185" s="3" t="str">
        <x:f>IF(COUNTA(A185:P185)=0,"",IFERROR(IF(AND(A185&lt;&gt;"",COUNTIF($A$2:$A$201,A185)=1,OR(LEFT(B185,2)="V-",LEFT(B185,4)="SYN-"),LEN(MID(B185,IF(LEFT(B185,2)="V-",3,5),30))&gt;0,ISNUMBER(VALUE(MID(B185,IF(LEFT(B185,2)="V-",3,5),30))),VALUE(MID(B185,IF(LEFT(B185,2)="V-",3,5),30))&gt;=0,MOD(VALUE(MID(B185,IF(LEFT(B185,2)="V-",3,5),30)),1)=0,COUNTIFS(Slots!$A$2:$A$31,"E2",Slots!$B$2:$B$31,C185)=1,ISNUMBER(SEARCH("|"&amp;D185&amp;"|","|"&amp;Settings!$B$9&amp;"|")),OR(E185="regular",E185="first"),OR(F185="include",F185="duplicate",F185="late"),OR(H185="yes",H185="no"),OR(I185="success",I185="failed",I185="unknown",I185="not_sent"),OR(K185="yes",K185="no",K185="none",K185="conflict",K185="unknown"),OR(L185="text",L185="emoji",L185="voice",L185="none",L185="unknown"),OR(M185="yes",M185="no",M185="unknown"),OR(N185="yes",N185="no",N185="unknown"),ISNUMBER(O185),OR(O185=0,O185=1),OR(P185="",P185="soft_yes",P185="forgot",P185="time_place",P185="clash",P185="travel",P185="personal",P185="unknown",P185="silent_but_came"),OR(I185&lt;&gt;"success",AND(J185&lt;&gt;"",COUNTIFS($J$2:$J$201,J185,$I$2:$I$201,"success")=1)),OR(I185&lt;&gt;"not_sent",J185=""),IF(F185="duplicate",AND(COUNTIFS($A$2:$A$201,G185,$B$2:$B$201,B185,$C$2:$C$201,C185,$F$2:$F$201,"include")=1,H185="no",I185="not_sent",K185="none",M185="no",N185="no",O185=0),AND(G185="",N185&lt;&gt;"unknown",COUNTIFS($B$2:$B$201,B185,$F$2:$F$201,"&lt;&gt;duplicate")=1)),IF(F185="include",AND(H185="yes",K185&lt;&gt;"conflict",K185&lt;&gt;"unknown",M185&lt;&gt;"unknown",IF(OR(K185="yes",K185="no"),AND(M185="yes",OR(L185="text",L185="emoji",L185="voice")),L185="none")),TRUE),IF(F185="late",AND(H185="no",I185="not_sent",K185="none",L185="none",O185=0),TRUE)),"OK","CHECK"),"CHECK"))</x:f>
      </x:c>
      <x:c r="R185" s="3"/>
    </x:row>
    <x:row r="186" ht="22" customHeight="1">
      <x:c r="A186" s="8"/>
      <x:c r="B186" s="8"/>
      <x:c r="C186" s="8"/>
      <x:c r="D186" s="8"/>
      <x:c r="E186" s="7"/>
      <x:c r="F186" s="7"/>
      <x:c r="G186" s="7"/>
      <x:c r="H186" s="7"/>
      <x:c r="I186" s="7"/>
      <x:c r="J186" s="8"/>
      <x:c r="K186" s="7"/>
      <x:c r="L186" s="7"/>
      <x:c r="M186" s="7"/>
      <x:c r="N186" s="7"/>
      <x:c r="O186" s="7"/>
      <x:c r="P186" s="7"/>
      <x:c r="Q186" s="3" t="str">
        <x:f>IF(COUNTA(A186:P186)=0,"",IFERROR(IF(AND(A186&lt;&gt;"",COUNTIF($A$2:$A$201,A186)=1,OR(LEFT(B186,2)="V-",LEFT(B186,4)="SYN-"),LEN(MID(B186,IF(LEFT(B186,2)="V-",3,5),30))&gt;0,ISNUMBER(VALUE(MID(B186,IF(LEFT(B186,2)="V-",3,5),30))),VALUE(MID(B186,IF(LEFT(B186,2)="V-",3,5),30))&gt;=0,MOD(VALUE(MID(B186,IF(LEFT(B186,2)="V-",3,5),30)),1)=0,COUNTIFS(Slots!$A$2:$A$31,"E2",Slots!$B$2:$B$31,C186)=1,ISNUMBER(SEARCH("|"&amp;D186&amp;"|","|"&amp;Settings!$B$9&amp;"|")),OR(E186="regular",E186="first"),OR(F186="include",F186="duplicate",F186="late"),OR(H186="yes",H186="no"),OR(I186="success",I186="failed",I186="unknown",I186="not_sent"),OR(K186="yes",K186="no",K186="none",K186="conflict",K186="unknown"),OR(L186="text",L186="emoji",L186="voice",L186="none",L186="unknown"),OR(M186="yes",M186="no",M186="unknown"),OR(N186="yes",N186="no",N186="unknown"),ISNUMBER(O186),OR(O186=0,O186=1),OR(P186="",P186="soft_yes",P186="forgot",P186="time_place",P186="clash",P186="travel",P186="personal",P186="unknown",P186="silent_but_came"),OR(I186&lt;&gt;"success",AND(J186&lt;&gt;"",COUNTIFS($J$2:$J$201,J186,$I$2:$I$201,"success")=1)),OR(I186&lt;&gt;"not_sent",J186=""),IF(F186="duplicate",AND(COUNTIFS($A$2:$A$201,G186,$B$2:$B$201,B186,$C$2:$C$201,C186,$F$2:$F$201,"include")=1,H186="no",I186="not_sent",K186="none",M186="no",N186="no",O186=0),AND(G186="",N186&lt;&gt;"unknown",COUNTIFS($B$2:$B$201,B186,$F$2:$F$201,"&lt;&gt;duplicate")=1)),IF(F186="include",AND(H186="yes",K186&lt;&gt;"conflict",K186&lt;&gt;"unknown",M186&lt;&gt;"unknown",IF(OR(K186="yes",K186="no"),AND(M186="yes",OR(L186="text",L186="emoji",L186="voice")),L186="none")),TRUE),IF(F186="late",AND(H186="no",I186="not_sent",K186="none",L186="none",O186=0),TRUE)),"OK","CHECK"),"CHECK"))</x:f>
      </x:c>
      <x:c r="R186" s="3"/>
    </x:row>
    <x:row r="187" ht="22" customHeight="1">
      <x:c r="A187" s="8"/>
      <x:c r="B187" s="8"/>
      <x:c r="C187" s="8"/>
      <x:c r="D187" s="8"/>
      <x:c r="E187" s="7"/>
      <x:c r="F187" s="7"/>
      <x:c r="G187" s="7"/>
      <x:c r="H187" s="7"/>
      <x:c r="I187" s="7"/>
      <x:c r="J187" s="8"/>
      <x:c r="K187" s="7"/>
      <x:c r="L187" s="7"/>
      <x:c r="M187" s="7"/>
      <x:c r="N187" s="7"/>
      <x:c r="O187" s="7"/>
      <x:c r="P187" s="7"/>
      <x:c r="Q187" s="3" t="str">
        <x:f>IF(COUNTA(A187:P187)=0,"",IFERROR(IF(AND(A187&lt;&gt;"",COUNTIF($A$2:$A$201,A187)=1,OR(LEFT(B187,2)="V-",LEFT(B187,4)="SYN-"),LEN(MID(B187,IF(LEFT(B187,2)="V-",3,5),30))&gt;0,ISNUMBER(VALUE(MID(B187,IF(LEFT(B187,2)="V-",3,5),30))),VALUE(MID(B187,IF(LEFT(B187,2)="V-",3,5),30))&gt;=0,MOD(VALUE(MID(B187,IF(LEFT(B187,2)="V-",3,5),30)),1)=0,COUNTIFS(Slots!$A$2:$A$31,"E2",Slots!$B$2:$B$31,C187)=1,ISNUMBER(SEARCH("|"&amp;D187&amp;"|","|"&amp;Settings!$B$9&amp;"|")),OR(E187="regular",E187="first"),OR(F187="include",F187="duplicate",F187="late"),OR(H187="yes",H187="no"),OR(I187="success",I187="failed",I187="unknown",I187="not_sent"),OR(K187="yes",K187="no",K187="none",K187="conflict",K187="unknown"),OR(L187="text",L187="emoji",L187="voice",L187="none",L187="unknown"),OR(M187="yes",M187="no",M187="unknown"),OR(N187="yes",N187="no",N187="unknown"),ISNUMBER(O187),OR(O187=0,O187=1),OR(P187="",P187="soft_yes",P187="forgot",P187="time_place",P187="clash",P187="travel",P187="personal",P187="unknown",P187="silent_but_came"),OR(I187&lt;&gt;"success",AND(J187&lt;&gt;"",COUNTIFS($J$2:$J$201,J187,$I$2:$I$201,"success")=1)),OR(I187&lt;&gt;"not_sent",J187=""),IF(F187="duplicate",AND(COUNTIFS($A$2:$A$201,G187,$B$2:$B$201,B187,$C$2:$C$201,C187,$F$2:$F$201,"include")=1,H187="no",I187="not_sent",K187="none",M187="no",N187="no",O187=0),AND(G187="",N187&lt;&gt;"unknown",COUNTIFS($B$2:$B$201,B187,$F$2:$F$201,"&lt;&gt;duplicate")=1)),IF(F187="include",AND(H187="yes",K187&lt;&gt;"conflict",K187&lt;&gt;"unknown",M187&lt;&gt;"unknown",IF(OR(K187="yes",K187="no"),AND(M187="yes",OR(L187="text",L187="emoji",L187="voice")),L187="none")),TRUE),IF(F187="late",AND(H187="no",I187="not_sent",K187="none",L187="none",O187=0),TRUE)),"OK","CHECK"),"CHECK"))</x:f>
      </x:c>
      <x:c r="R187" s="3"/>
    </x:row>
    <x:row r="188" ht="22" customHeight="1">
      <x:c r="A188" s="8"/>
      <x:c r="B188" s="8"/>
      <x:c r="C188" s="8"/>
      <x:c r="D188" s="8"/>
      <x:c r="E188" s="7"/>
      <x:c r="F188" s="7"/>
      <x:c r="G188" s="7"/>
      <x:c r="H188" s="7"/>
      <x:c r="I188" s="7"/>
      <x:c r="J188" s="8"/>
      <x:c r="K188" s="7"/>
      <x:c r="L188" s="7"/>
      <x:c r="M188" s="7"/>
      <x:c r="N188" s="7"/>
      <x:c r="O188" s="7"/>
      <x:c r="P188" s="7"/>
      <x:c r="Q188" s="3" t="str">
        <x:f>IF(COUNTA(A188:P188)=0,"",IFERROR(IF(AND(A188&lt;&gt;"",COUNTIF($A$2:$A$201,A188)=1,OR(LEFT(B188,2)="V-",LEFT(B188,4)="SYN-"),LEN(MID(B188,IF(LEFT(B188,2)="V-",3,5),30))&gt;0,ISNUMBER(VALUE(MID(B188,IF(LEFT(B188,2)="V-",3,5),30))),VALUE(MID(B188,IF(LEFT(B188,2)="V-",3,5),30))&gt;=0,MOD(VALUE(MID(B188,IF(LEFT(B188,2)="V-",3,5),30)),1)=0,COUNTIFS(Slots!$A$2:$A$31,"E2",Slots!$B$2:$B$31,C188)=1,ISNUMBER(SEARCH("|"&amp;D188&amp;"|","|"&amp;Settings!$B$9&amp;"|")),OR(E188="regular",E188="first"),OR(F188="include",F188="duplicate",F188="late"),OR(H188="yes",H188="no"),OR(I188="success",I188="failed",I188="unknown",I188="not_sent"),OR(K188="yes",K188="no",K188="none",K188="conflict",K188="unknown"),OR(L188="text",L188="emoji",L188="voice",L188="none",L188="unknown"),OR(M188="yes",M188="no",M188="unknown"),OR(N188="yes",N188="no",N188="unknown"),ISNUMBER(O188),OR(O188=0,O188=1),OR(P188="",P188="soft_yes",P188="forgot",P188="time_place",P188="clash",P188="travel",P188="personal",P188="unknown",P188="silent_but_came"),OR(I188&lt;&gt;"success",AND(J188&lt;&gt;"",COUNTIFS($J$2:$J$201,J188,$I$2:$I$201,"success")=1)),OR(I188&lt;&gt;"not_sent",J188=""),IF(F188="duplicate",AND(COUNTIFS($A$2:$A$201,G188,$B$2:$B$201,B188,$C$2:$C$201,C188,$F$2:$F$201,"include")=1,H188="no",I188="not_sent",K188="none",M188="no",N188="no",O188=0),AND(G188="",N188&lt;&gt;"unknown",COUNTIFS($B$2:$B$201,B188,$F$2:$F$201,"&lt;&gt;duplicate")=1)),IF(F188="include",AND(H188="yes",K188&lt;&gt;"conflict",K188&lt;&gt;"unknown",M188&lt;&gt;"unknown",IF(OR(K188="yes",K188="no"),AND(M188="yes",OR(L188="text",L188="emoji",L188="voice")),L188="none")),TRUE),IF(F188="late",AND(H188="no",I188="not_sent",K188="none",L188="none",O188=0),TRUE)),"OK","CHECK"),"CHECK"))</x:f>
      </x:c>
      <x:c r="R188" s="3"/>
    </x:row>
    <x:row r="189" ht="22" customHeight="1">
      <x:c r="A189" s="8"/>
      <x:c r="B189" s="8"/>
      <x:c r="C189" s="8"/>
      <x:c r="D189" s="8"/>
      <x:c r="E189" s="7"/>
      <x:c r="F189" s="7"/>
      <x:c r="G189" s="7"/>
      <x:c r="H189" s="7"/>
      <x:c r="I189" s="7"/>
      <x:c r="J189" s="8"/>
      <x:c r="K189" s="7"/>
      <x:c r="L189" s="7"/>
      <x:c r="M189" s="7"/>
      <x:c r="N189" s="7"/>
      <x:c r="O189" s="7"/>
      <x:c r="P189" s="7"/>
      <x:c r="Q189" s="3" t="str">
        <x:f>IF(COUNTA(A189:P189)=0,"",IFERROR(IF(AND(A189&lt;&gt;"",COUNTIF($A$2:$A$201,A189)=1,OR(LEFT(B189,2)="V-",LEFT(B189,4)="SYN-"),LEN(MID(B189,IF(LEFT(B189,2)="V-",3,5),30))&gt;0,ISNUMBER(VALUE(MID(B189,IF(LEFT(B189,2)="V-",3,5),30))),VALUE(MID(B189,IF(LEFT(B189,2)="V-",3,5),30))&gt;=0,MOD(VALUE(MID(B189,IF(LEFT(B189,2)="V-",3,5),30)),1)=0,COUNTIFS(Slots!$A$2:$A$31,"E2",Slots!$B$2:$B$31,C189)=1,ISNUMBER(SEARCH("|"&amp;D189&amp;"|","|"&amp;Settings!$B$9&amp;"|")),OR(E189="regular",E189="first"),OR(F189="include",F189="duplicate",F189="late"),OR(H189="yes",H189="no"),OR(I189="success",I189="failed",I189="unknown",I189="not_sent"),OR(K189="yes",K189="no",K189="none",K189="conflict",K189="unknown"),OR(L189="text",L189="emoji",L189="voice",L189="none",L189="unknown"),OR(M189="yes",M189="no",M189="unknown"),OR(N189="yes",N189="no",N189="unknown"),ISNUMBER(O189),OR(O189=0,O189=1),OR(P189="",P189="soft_yes",P189="forgot",P189="time_place",P189="clash",P189="travel",P189="personal",P189="unknown",P189="silent_but_came"),OR(I189&lt;&gt;"success",AND(J189&lt;&gt;"",COUNTIFS($J$2:$J$201,J189,$I$2:$I$201,"success")=1)),OR(I189&lt;&gt;"not_sent",J189=""),IF(F189="duplicate",AND(COUNTIFS($A$2:$A$201,G189,$B$2:$B$201,B189,$C$2:$C$201,C189,$F$2:$F$201,"include")=1,H189="no",I189="not_sent",K189="none",M189="no",N189="no",O189=0),AND(G189="",N189&lt;&gt;"unknown",COUNTIFS($B$2:$B$201,B189,$F$2:$F$201,"&lt;&gt;duplicate")=1)),IF(F189="include",AND(H189="yes",K189&lt;&gt;"conflict",K189&lt;&gt;"unknown",M189&lt;&gt;"unknown",IF(OR(K189="yes",K189="no"),AND(M189="yes",OR(L189="text",L189="emoji",L189="voice")),L189="none")),TRUE),IF(F189="late",AND(H189="no",I189="not_sent",K189="none",L189="none",O189=0),TRUE)),"OK","CHECK"),"CHECK"))</x:f>
      </x:c>
      <x:c r="R189" s="3"/>
    </x:row>
    <x:row r="190" ht="22" customHeight="1">
      <x:c r="A190" s="8"/>
      <x:c r="B190" s="8"/>
      <x:c r="C190" s="8"/>
      <x:c r="D190" s="8"/>
      <x:c r="E190" s="7"/>
      <x:c r="F190" s="7"/>
      <x:c r="G190" s="7"/>
      <x:c r="H190" s="7"/>
      <x:c r="I190" s="7"/>
      <x:c r="J190" s="8"/>
      <x:c r="K190" s="7"/>
      <x:c r="L190" s="7"/>
      <x:c r="M190" s="7"/>
      <x:c r="N190" s="7"/>
      <x:c r="O190" s="7"/>
      <x:c r="P190" s="7"/>
      <x:c r="Q190" s="3" t="str">
        <x:f>IF(COUNTA(A190:P190)=0,"",IFERROR(IF(AND(A190&lt;&gt;"",COUNTIF($A$2:$A$201,A190)=1,OR(LEFT(B190,2)="V-",LEFT(B190,4)="SYN-"),LEN(MID(B190,IF(LEFT(B190,2)="V-",3,5),30))&gt;0,ISNUMBER(VALUE(MID(B190,IF(LEFT(B190,2)="V-",3,5),30))),VALUE(MID(B190,IF(LEFT(B190,2)="V-",3,5),30))&gt;=0,MOD(VALUE(MID(B190,IF(LEFT(B190,2)="V-",3,5),30)),1)=0,COUNTIFS(Slots!$A$2:$A$31,"E2",Slots!$B$2:$B$31,C190)=1,ISNUMBER(SEARCH("|"&amp;D190&amp;"|","|"&amp;Settings!$B$9&amp;"|")),OR(E190="regular",E190="first"),OR(F190="include",F190="duplicate",F190="late"),OR(H190="yes",H190="no"),OR(I190="success",I190="failed",I190="unknown",I190="not_sent"),OR(K190="yes",K190="no",K190="none",K190="conflict",K190="unknown"),OR(L190="text",L190="emoji",L190="voice",L190="none",L190="unknown"),OR(M190="yes",M190="no",M190="unknown"),OR(N190="yes",N190="no",N190="unknown"),ISNUMBER(O190),OR(O190=0,O190=1),OR(P190="",P190="soft_yes",P190="forgot",P190="time_place",P190="clash",P190="travel",P190="personal",P190="unknown",P190="silent_but_came"),OR(I190&lt;&gt;"success",AND(J190&lt;&gt;"",COUNTIFS($J$2:$J$201,J190,$I$2:$I$201,"success")=1)),OR(I190&lt;&gt;"not_sent",J190=""),IF(F190="duplicate",AND(COUNTIFS($A$2:$A$201,G190,$B$2:$B$201,B190,$C$2:$C$201,C190,$F$2:$F$201,"include")=1,H190="no",I190="not_sent",K190="none",M190="no",N190="no",O190=0),AND(G190="",N190&lt;&gt;"unknown",COUNTIFS($B$2:$B$201,B190,$F$2:$F$201,"&lt;&gt;duplicate")=1)),IF(F190="include",AND(H190="yes",K190&lt;&gt;"conflict",K190&lt;&gt;"unknown",M190&lt;&gt;"unknown",IF(OR(K190="yes",K190="no"),AND(M190="yes",OR(L190="text",L190="emoji",L190="voice")),L190="none")),TRUE),IF(F190="late",AND(H190="no",I190="not_sent",K190="none",L190="none",O190=0),TRUE)),"OK","CHECK"),"CHECK"))</x:f>
      </x:c>
      <x:c r="R190" s="3"/>
    </x:row>
    <x:row r="191" ht="22" customHeight="1">
      <x:c r="A191" s="8"/>
      <x:c r="B191" s="8"/>
      <x:c r="C191" s="8"/>
      <x:c r="D191" s="8"/>
      <x:c r="E191" s="7"/>
      <x:c r="F191" s="7"/>
      <x:c r="G191" s="7"/>
      <x:c r="H191" s="7"/>
      <x:c r="I191" s="7"/>
      <x:c r="J191" s="8"/>
      <x:c r="K191" s="7"/>
      <x:c r="L191" s="7"/>
      <x:c r="M191" s="7"/>
      <x:c r="N191" s="7"/>
      <x:c r="O191" s="7"/>
      <x:c r="P191" s="7"/>
      <x:c r="Q191" s="3" t="str">
        <x:f>IF(COUNTA(A191:P191)=0,"",IFERROR(IF(AND(A191&lt;&gt;"",COUNTIF($A$2:$A$201,A191)=1,OR(LEFT(B191,2)="V-",LEFT(B191,4)="SYN-"),LEN(MID(B191,IF(LEFT(B191,2)="V-",3,5),30))&gt;0,ISNUMBER(VALUE(MID(B191,IF(LEFT(B191,2)="V-",3,5),30))),VALUE(MID(B191,IF(LEFT(B191,2)="V-",3,5),30))&gt;=0,MOD(VALUE(MID(B191,IF(LEFT(B191,2)="V-",3,5),30)),1)=0,COUNTIFS(Slots!$A$2:$A$31,"E2",Slots!$B$2:$B$31,C191)=1,ISNUMBER(SEARCH("|"&amp;D191&amp;"|","|"&amp;Settings!$B$9&amp;"|")),OR(E191="regular",E191="first"),OR(F191="include",F191="duplicate",F191="late"),OR(H191="yes",H191="no"),OR(I191="success",I191="failed",I191="unknown",I191="not_sent"),OR(K191="yes",K191="no",K191="none",K191="conflict",K191="unknown"),OR(L191="text",L191="emoji",L191="voice",L191="none",L191="unknown"),OR(M191="yes",M191="no",M191="unknown"),OR(N191="yes",N191="no",N191="unknown"),ISNUMBER(O191),OR(O191=0,O191=1),OR(P191="",P191="soft_yes",P191="forgot",P191="time_place",P191="clash",P191="travel",P191="personal",P191="unknown",P191="silent_but_came"),OR(I191&lt;&gt;"success",AND(J191&lt;&gt;"",COUNTIFS($J$2:$J$201,J191,$I$2:$I$201,"success")=1)),OR(I191&lt;&gt;"not_sent",J191=""),IF(F191="duplicate",AND(COUNTIFS($A$2:$A$201,G191,$B$2:$B$201,B191,$C$2:$C$201,C191,$F$2:$F$201,"include")=1,H191="no",I191="not_sent",K191="none",M191="no",N191="no",O191=0),AND(G191="",N191&lt;&gt;"unknown",COUNTIFS($B$2:$B$201,B191,$F$2:$F$201,"&lt;&gt;duplicate")=1)),IF(F191="include",AND(H191="yes",K191&lt;&gt;"conflict",K191&lt;&gt;"unknown",M191&lt;&gt;"unknown",IF(OR(K191="yes",K191="no"),AND(M191="yes",OR(L191="text",L191="emoji",L191="voice")),L191="none")),TRUE),IF(F191="late",AND(H191="no",I191="not_sent",K191="none",L191="none",O191=0),TRUE)),"OK","CHECK"),"CHECK"))</x:f>
      </x:c>
      <x:c r="R191" s="3"/>
    </x:row>
    <x:row r="192" ht="22" customHeight="1">
      <x:c r="A192" s="8"/>
      <x:c r="B192" s="8"/>
      <x:c r="C192" s="8"/>
      <x:c r="D192" s="8"/>
      <x:c r="E192" s="7"/>
      <x:c r="F192" s="7"/>
      <x:c r="G192" s="7"/>
      <x:c r="H192" s="7"/>
      <x:c r="I192" s="7"/>
      <x:c r="J192" s="8"/>
      <x:c r="K192" s="7"/>
      <x:c r="L192" s="7"/>
      <x:c r="M192" s="7"/>
      <x:c r="N192" s="7"/>
      <x:c r="O192" s="7"/>
      <x:c r="P192" s="7"/>
      <x:c r="Q192" s="3" t="str">
        <x:f>IF(COUNTA(A192:P192)=0,"",IFERROR(IF(AND(A192&lt;&gt;"",COUNTIF($A$2:$A$201,A192)=1,OR(LEFT(B192,2)="V-",LEFT(B192,4)="SYN-"),LEN(MID(B192,IF(LEFT(B192,2)="V-",3,5),30))&gt;0,ISNUMBER(VALUE(MID(B192,IF(LEFT(B192,2)="V-",3,5),30))),VALUE(MID(B192,IF(LEFT(B192,2)="V-",3,5),30))&gt;=0,MOD(VALUE(MID(B192,IF(LEFT(B192,2)="V-",3,5),30)),1)=0,COUNTIFS(Slots!$A$2:$A$31,"E2",Slots!$B$2:$B$31,C192)=1,ISNUMBER(SEARCH("|"&amp;D192&amp;"|","|"&amp;Settings!$B$9&amp;"|")),OR(E192="regular",E192="first"),OR(F192="include",F192="duplicate",F192="late"),OR(H192="yes",H192="no"),OR(I192="success",I192="failed",I192="unknown",I192="not_sent"),OR(K192="yes",K192="no",K192="none",K192="conflict",K192="unknown"),OR(L192="text",L192="emoji",L192="voice",L192="none",L192="unknown"),OR(M192="yes",M192="no",M192="unknown"),OR(N192="yes",N192="no",N192="unknown"),ISNUMBER(O192),OR(O192=0,O192=1),OR(P192="",P192="soft_yes",P192="forgot",P192="time_place",P192="clash",P192="travel",P192="personal",P192="unknown",P192="silent_but_came"),OR(I192&lt;&gt;"success",AND(J192&lt;&gt;"",COUNTIFS($J$2:$J$201,J192,$I$2:$I$201,"success")=1)),OR(I192&lt;&gt;"not_sent",J192=""),IF(F192="duplicate",AND(COUNTIFS($A$2:$A$201,G192,$B$2:$B$201,B192,$C$2:$C$201,C192,$F$2:$F$201,"include")=1,H192="no",I192="not_sent",K192="none",M192="no",N192="no",O192=0),AND(G192="",N192&lt;&gt;"unknown",COUNTIFS($B$2:$B$201,B192,$F$2:$F$201,"&lt;&gt;duplicate")=1)),IF(F192="include",AND(H192="yes",K192&lt;&gt;"conflict",K192&lt;&gt;"unknown",M192&lt;&gt;"unknown",IF(OR(K192="yes",K192="no"),AND(M192="yes",OR(L192="text",L192="emoji",L192="voice")),L192="none")),TRUE),IF(F192="late",AND(H192="no",I192="not_sent",K192="none",L192="none",O192=0),TRUE)),"OK","CHECK"),"CHECK"))</x:f>
      </x:c>
      <x:c r="R192" s="3"/>
    </x:row>
    <x:row r="193" ht="22" customHeight="1">
      <x:c r="A193" s="8"/>
      <x:c r="B193" s="8"/>
      <x:c r="C193" s="8"/>
      <x:c r="D193" s="8"/>
      <x:c r="E193" s="7"/>
      <x:c r="F193" s="7"/>
      <x:c r="G193" s="7"/>
      <x:c r="H193" s="7"/>
      <x:c r="I193" s="7"/>
      <x:c r="J193" s="8"/>
      <x:c r="K193" s="7"/>
      <x:c r="L193" s="7"/>
      <x:c r="M193" s="7"/>
      <x:c r="N193" s="7"/>
      <x:c r="O193" s="7"/>
      <x:c r="P193" s="7"/>
      <x:c r="Q193" s="3" t="str">
        <x:f>IF(COUNTA(A193:P193)=0,"",IFERROR(IF(AND(A193&lt;&gt;"",COUNTIF($A$2:$A$201,A193)=1,OR(LEFT(B193,2)="V-",LEFT(B193,4)="SYN-"),LEN(MID(B193,IF(LEFT(B193,2)="V-",3,5),30))&gt;0,ISNUMBER(VALUE(MID(B193,IF(LEFT(B193,2)="V-",3,5),30))),VALUE(MID(B193,IF(LEFT(B193,2)="V-",3,5),30))&gt;=0,MOD(VALUE(MID(B193,IF(LEFT(B193,2)="V-",3,5),30)),1)=0,COUNTIFS(Slots!$A$2:$A$31,"E2",Slots!$B$2:$B$31,C193)=1,ISNUMBER(SEARCH("|"&amp;D193&amp;"|","|"&amp;Settings!$B$9&amp;"|")),OR(E193="regular",E193="first"),OR(F193="include",F193="duplicate",F193="late"),OR(H193="yes",H193="no"),OR(I193="success",I193="failed",I193="unknown",I193="not_sent"),OR(K193="yes",K193="no",K193="none",K193="conflict",K193="unknown"),OR(L193="text",L193="emoji",L193="voice",L193="none",L193="unknown"),OR(M193="yes",M193="no",M193="unknown"),OR(N193="yes",N193="no",N193="unknown"),ISNUMBER(O193),OR(O193=0,O193=1),OR(P193="",P193="soft_yes",P193="forgot",P193="time_place",P193="clash",P193="travel",P193="personal",P193="unknown",P193="silent_but_came"),OR(I193&lt;&gt;"success",AND(J193&lt;&gt;"",COUNTIFS($J$2:$J$201,J193,$I$2:$I$201,"success")=1)),OR(I193&lt;&gt;"not_sent",J193=""),IF(F193="duplicate",AND(COUNTIFS($A$2:$A$201,G193,$B$2:$B$201,B193,$C$2:$C$201,C193,$F$2:$F$201,"include")=1,H193="no",I193="not_sent",K193="none",M193="no",N193="no",O193=0),AND(G193="",N193&lt;&gt;"unknown",COUNTIFS($B$2:$B$201,B193,$F$2:$F$201,"&lt;&gt;duplicate")=1)),IF(F193="include",AND(H193="yes",K193&lt;&gt;"conflict",K193&lt;&gt;"unknown",M193&lt;&gt;"unknown",IF(OR(K193="yes",K193="no"),AND(M193="yes",OR(L193="text",L193="emoji",L193="voice")),L193="none")),TRUE),IF(F193="late",AND(H193="no",I193="not_sent",K193="none",L193="none",O193=0),TRUE)),"OK","CHECK"),"CHECK"))</x:f>
      </x:c>
      <x:c r="R193" s="3"/>
    </x:row>
    <x:row r="194" ht="22" customHeight="1">
      <x:c r="A194" s="8"/>
      <x:c r="B194" s="8"/>
      <x:c r="C194" s="8"/>
      <x:c r="D194" s="8"/>
      <x:c r="E194" s="7"/>
      <x:c r="F194" s="7"/>
      <x:c r="G194" s="7"/>
      <x:c r="H194" s="7"/>
      <x:c r="I194" s="7"/>
      <x:c r="J194" s="8"/>
      <x:c r="K194" s="7"/>
      <x:c r="L194" s="7"/>
      <x:c r="M194" s="7"/>
      <x:c r="N194" s="7"/>
      <x:c r="O194" s="7"/>
      <x:c r="P194" s="7"/>
      <x:c r="Q194" s="3" t="str">
        <x:f>IF(COUNTA(A194:P194)=0,"",IFERROR(IF(AND(A194&lt;&gt;"",COUNTIF($A$2:$A$201,A194)=1,OR(LEFT(B194,2)="V-",LEFT(B194,4)="SYN-"),LEN(MID(B194,IF(LEFT(B194,2)="V-",3,5),30))&gt;0,ISNUMBER(VALUE(MID(B194,IF(LEFT(B194,2)="V-",3,5),30))),VALUE(MID(B194,IF(LEFT(B194,2)="V-",3,5),30))&gt;=0,MOD(VALUE(MID(B194,IF(LEFT(B194,2)="V-",3,5),30)),1)=0,COUNTIFS(Slots!$A$2:$A$31,"E2",Slots!$B$2:$B$31,C194)=1,ISNUMBER(SEARCH("|"&amp;D194&amp;"|","|"&amp;Settings!$B$9&amp;"|")),OR(E194="regular",E194="first"),OR(F194="include",F194="duplicate",F194="late"),OR(H194="yes",H194="no"),OR(I194="success",I194="failed",I194="unknown",I194="not_sent"),OR(K194="yes",K194="no",K194="none",K194="conflict",K194="unknown"),OR(L194="text",L194="emoji",L194="voice",L194="none",L194="unknown"),OR(M194="yes",M194="no",M194="unknown"),OR(N194="yes",N194="no",N194="unknown"),ISNUMBER(O194),OR(O194=0,O194=1),OR(P194="",P194="soft_yes",P194="forgot",P194="time_place",P194="clash",P194="travel",P194="personal",P194="unknown",P194="silent_but_came"),OR(I194&lt;&gt;"success",AND(J194&lt;&gt;"",COUNTIFS($J$2:$J$201,J194,$I$2:$I$201,"success")=1)),OR(I194&lt;&gt;"not_sent",J194=""),IF(F194="duplicate",AND(COUNTIFS($A$2:$A$201,G194,$B$2:$B$201,B194,$C$2:$C$201,C194,$F$2:$F$201,"include")=1,H194="no",I194="not_sent",K194="none",M194="no",N194="no",O194=0),AND(G194="",N194&lt;&gt;"unknown",COUNTIFS($B$2:$B$201,B194,$F$2:$F$201,"&lt;&gt;duplicate")=1)),IF(F194="include",AND(H194="yes",K194&lt;&gt;"conflict",K194&lt;&gt;"unknown",M194&lt;&gt;"unknown",IF(OR(K194="yes",K194="no"),AND(M194="yes",OR(L194="text",L194="emoji",L194="voice")),L194="none")),TRUE),IF(F194="late",AND(H194="no",I194="not_sent",K194="none",L194="none",O194=0),TRUE)),"OK","CHECK"),"CHECK"))</x:f>
      </x:c>
      <x:c r="R194" s="3"/>
    </x:row>
    <x:row r="195" ht="22" customHeight="1">
      <x:c r="A195" s="8"/>
      <x:c r="B195" s="8"/>
      <x:c r="C195" s="8"/>
      <x:c r="D195" s="8"/>
      <x:c r="E195" s="7"/>
      <x:c r="F195" s="7"/>
      <x:c r="G195" s="7"/>
      <x:c r="H195" s="7"/>
      <x:c r="I195" s="7"/>
      <x:c r="J195" s="8"/>
      <x:c r="K195" s="7"/>
      <x:c r="L195" s="7"/>
      <x:c r="M195" s="7"/>
      <x:c r="N195" s="7"/>
      <x:c r="O195" s="7"/>
      <x:c r="P195" s="7"/>
      <x:c r="Q195" s="3" t="str">
        <x:f>IF(COUNTA(A195:P195)=0,"",IFERROR(IF(AND(A195&lt;&gt;"",COUNTIF($A$2:$A$201,A195)=1,OR(LEFT(B195,2)="V-",LEFT(B195,4)="SYN-"),LEN(MID(B195,IF(LEFT(B195,2)="V-",3,5),30))&gt;0,ISNUMBER(VALUE(MID(B195,IF(LEFT(B195,2)="V-",3,5),30))),VALUE(MID(B195,IF(LEFT(B195,2)="V-",3,5),30))&gt;=0,MOD(VALUE(MID(B195,IF(LEFT(B195,2)="V-",3,5),30)),1)=0,COUNTIFS(Slots!$A$2:$A$31,"E2",Slots!$B$2:$B$31,C195)=1,ISNUMBER(SEARCH("|"&amp;D195&amp;"|","|"&amp;Settings!$B$9&amp;"|")),OR(E195="regular",E195="first"),OR(F195="include",F195="duplicate",F195="late"),OR(H195="yes",H195="no"),OR(I195="success",I195="failed",I195="unknown",I195="not_sent"),OR(K195="yes",K195="no",K195="none",K195="conflict",K195="unknown"),OR(L195="text",L195="emoji",L195="voice",L195="none",L195="unknown"),OR(M195="yes",M195="no",M195="unknown"),OR(N195="yes",N195="no",N195="unknown"),ISNUMBER(O195),OR(O195=0,O195=1),OR(P195="",P195="soft_yes",P195="forgot",P195="time_place",P195="clash",P195="travel",P195="personal",P195="unknown",P195="silent_but_came"),OR(I195&lt;&gt;"success",AND(J195&lt;&gt;"",COUNTIFS($J$2:$J$201,J195,$I$2:$I$201,"success")=1)),OR(I195&lt;&gt;"not_sent",J195=""),IF(F195="duplicate",AND(COUNTIFS($A$2:$A$201,G195,$B$2:$B$201,B195,$C$2:$C$201,C195,$F$2:$F$201,"include")=1,H195="no",I195="not_sent",K195="none",M195="no",N195="no",O195=0),AND(G195="",N195&lt;&gt;"unknown",COUNTIFS($B$2:$B$201,B195,$F$2:$F$201,"&lt;&gt;duplicate")=1)),IF(F195="include",AND(H195="yes",K195&lt;&gt;"conflict",K195&lt;&gt;"unknown",M195&lt;&gt;"unknown",IF(OR(K195="yes",K195="no"),AND(M195="yes",OR(L195="text",L195="emoji",L195="voice")),L195="none")),TRUE),IF(F195="late",AND(H195="no",I195="not_sent",K195="none",L195="none",O195=0),TRUE)),"OK","CHECK"),"CHECK"))</x:f>
      </x:c>
      <x:c r="R195" s="3"/>
    </x:row>
    <x:row r="196" ht="22" customHeight="1">
      <x:c r="A196" s="8"/>
      <x:c r="B196" s="8"/>
      <x:c r="C196" s="8"/>
      <x:c r="D196" s="8"/>
      <x:c r="E196" s="7"/>
      <x:c r="F196" s="7"/>
      <x:c r="G196" s="7"/>
      <x:c r="H196" s="7"/>
      <x:c r="I196" s="7"/>
      <x:c r="J196" s="8"/>
      <x:c r="K196" s="7"/>
      <x:c r="L196" s="7"/>
      <x:c r="M196" s="7"/>
      <x:c r="N196" s="7"/>
      <x:c r="O196" s="7"/>
      <x:c r="P196" s="7"/>
      <x:c r="Q196" s="3" t="str">
        <x:f>IF(COUNTA(A196:P196)=0,"",IFERROR(IF(AND(A196&lt;&gt;"",COUNTIF($A$2:$A$201,A196)=1,OR(LEFT(B196,2)="V-",LEFT(B196,4)="SYN-"),LEN(MID(B196,IF(LEFT(B196,2)="V-",3,5),30))&gt;0,ISNUMBER(VALUE(MID(B196,IF(LEFT(B196,2)="V-",3,5),30))),VALUE(MID(B196,IF(LEFT(B196,2)="V-",3,5),30))&gt;=0,MOD(VALUE(MID(B196,IF(LEFT(B196,2)="V-",3,5),30)),1)=0,COUNTIFS(Slots!$A$2:$A$31,"E2",Slots!$B$2:$B$31,C196)=1,ISNUMBER(SEARCH("|"&amp;D196&amp;"|","|"&amp;Settings!$B$9&amp;"|")),OR(E196="regular",E196="first"),OR(F196="include",F196="duplicate",F196="late"),OR(H196="yes",H196="no"),OR(I196="success",I196="failed",I196="unknown",I196="not_sent"),OR(K196="yes",K196="no",K196="none",K196="conflict",K196="unknown"),OR(L196="text",L196="emoji",L196="voice",L196="none",L196="unknown"),OR(M196="yes",M196="no",M196="unknown"),OR(N196="yes",N196="no",N196="unknown"),ISNUMBER(O196),OR(O196=0,O196=1),OR(P196="",P196="soft_yes",P196="forgot",P196="time_place",P196="clash",P196="travel",P196="personal",P196="unknown",P196="silent_but_came"),OR(I196&lt;&gt;"success",AND(J196&lt;&gt;"",COUNTIFS($J$2:$J$201,J196,$I$2:$I$201,"success")=1)),OR(I196&lt;&gt;"not_sent",J196=""),IF(F196="duplicate",AND(COUNTIFS($A$2:$A$201,G196,$B$2:$B$201,B196,$C$2:$C$201,C196,$F$2:$F$201,"include")=1,H196="no",I196="not_sent",K196="none",M196="no",N196="no",O196=0),AND(G196="",N196&lt;&gt;"unknown",COUNTIFS($B$2:$B$201,B196,$F$2:$F$201,"&lt;&gt;duplicate")=1)),IF(F196="include",AND(H196="yes",K196&lt;&gt;"conflict",K196&lt;&gt;"unknown",M196&lt;&gt;"unknown",IF(OR(K196="yes",K196="no"),AND(M196="yes",OR(L196="text",L196="emoji",L196="voice")),L196="none")),TRUE),IF(F196="late",AND(H196="no",I196="not_sent",K196="none",L196="none",O196=0),TRUE)),"OK","CHECK"),"CHECK"))</x:f>
      </x:c>
      <x:c r="R196" s="3"/>
    </x:row>
    <x:row r="197" ht="22" customHeight="1">
      <x:c r="A197" s="8"/>
      <x:c r="B197" s="8"/>
      <x:c r="C197" s="8"/>
      <x:c r="D197" s="8"/>
      <x:c r="E197" s="7"/>
      <x:c r="F197" s="7"/>
      <x:c r="G197" s="7"/>
      <x:c r="H197" s="7"/>
      <x:c r="I197" s="7"/>
      <x:c r="J197" s="8"/>
      <x:c r="K197" s="7"/>
      <x:c r="L197" s="7"/>
      <x:c r="M197" s="7"/>
      <x:c r="N197" s="7"/>
      <x:c r="O197" s="7"/>
      <x:c r="P197" s="7"/>
      <x:c r="Q197" s="3" t="str">
        <x:f>IF(COUNTA(A197:P197)=0,"",IFERROR(IF(AND(A197&lt;&gt;"",COUNTIF($A$2:$A$201,A197)=1,OR(LEFT(B197,2)="V-",LEFT(B197,4)="SYN-"),LEN(MID(B197,IF(LEFT(B197,2)="V-",3,5),30))&gt;0,ISNUMBER(VALUE(MID(B197,IF(LEFT(B197,2)="V-",3,5),30))),VALUE(MID(B197,IF(LEFT(B197,2)="V-",3,5),30))&gt;=0,MOD(VALUE(MID(B197,IF(LEFT(B197,2)="V-",3,5),30)),1)=0,COUNTIFS(Slots!$A$2:$A$31,"E2",Slots!$B$2:$B$31,C197)=1,ISNUMBER(SEARCH("|"&amp;D197&amp;"|","|"&amp;Settings!$B$9&amp;"|")),OR(E197="regular",E197="first"),OR(F197="include",F197="duplicate",F197="late"),OR(H197="yes",H197="no"),OR(I197="success",I197="failed",I197="unknown",I197="not_sent"),OR(K197="yes",K197="no",K197="none",K197="conflict",K197="unknown"),OR(L197="text",L197="emoji",L197="voice",L197="none",L197="unknown"),OR(M197="yes",M197="no",M197="unknown"),OR(N197="yes",N197="no",N197="unknown"),ISNUMBER(O197),OR(O197=0,O197=1),OR(P197="",P197="soft_yes",P197="forgot",P197="time_place",P197="clash",P197="travel",P197="personal",P197="unknown",P197="silent_but_came"),OR(I197&lt;&gt;"success",AND(J197&lt;&gt;"",COUNTIFS($J$2:$J$201,J197,$I$2:$I$201,"success")=1)),OR(I197&lt;&gt;"not_sent",J197=""),IF(F197="duplicate",AND(COUNTIFS($A$2:$A$201,G197,$B$2:$B$201,B197,$C$2:$C$201,C197,$F$2:$F$201,"include")=1,H197="no",I197="not_sent",K197="none",M197="no",N197="no",O197=0),AND(G197="",N197&lt;&gt;"unknown",COUNTIFS($B$2:$B$201,B197,$F$2:$F$201,"&lt;&gt;duplicate")=1)),IF(F197="include",AND(H197="yes",K197&lt;&gt;"conflict",K197&lt;&gt;"unknown",M197&lt;&gt;"unknown",IF(OR(K197="yes",K197="no"),AND(M197="yes",OR(L197="text",L197="emoji",L197="voice")),L197="none")),TRUE),IF(F197="late",AND(H197="no",I197="not_sent",K197="none",L197="none",O197=0),TRUE)),"OK","CHECK"),"CHECK"))</x:f>
      </x:c>
      <x:c r="R197" s="3"/>
    </x:row>
    <x:row r="198" ht="22" customHeight="1">
      <x:c r="A198" s="8"/>
      <x:c r="B198" s="8"/>
      <x:c r="C198" s="8"/>
      <x:c r="D198" s="8"/>
      <x:c r="E198" s="7"/>
      <x:c r="F198" s="7"/>
      <x:c r="G198" s="7"/>
      <x:c r="H198" s="7"/>
      <x:c r="I198" s="7"/>
      <x:c r="J198" s="8"/>
      <x:c r="K198" s="7"/>
      <x:c r="L198" s="7"/>
      <x:c r="M198" s="7"/>
      <x:c r="N198" s="7"/>
      <x:c r="O198" s="7"/>
      <x:c r="P198" s="7"/>
      <x:c r="Q198" s="3" t="str">
        <x:f>IF(COUNTA(A198:P198)=0,"",IFERROR(IF(AND(A198&lt;&gt;"",COUNTIF($A$2:$A$201,A198)=1,OR(LEFT(B198,2)="V-",LEFT(B198,4)="SYN-"),LEN(MID(B198,IF(LEFT(B198,2)="V-",3,5),30))&gt;0,ISNUMBER(VALUE(MID(B198,IF(LEFT(B198,2)="V-",3,5),30))),VALUE(MID(B198,IF(LEFT(B198,2)="V-",3,5),30))&gt;=0,MOD(VALUE(MID(B198,IF(LEFT(B198,2)="V-",3,5),30)),1)=0,COUNTIFS(Slots!$A$2:$A$31,"E2",Slots!$B$2:$B$31,C198)=1,ISNUMBER(SEARCH("|"&amp;D198&amp;"|","|"&amp;Settings!$B$9&amp;"|")),OR(E198="regular",E198="first"),OR(F198="include",F198="duplicate",F198="late"),OR(H198="yes",H198="no"),OR(I198="success",I198="failed",I198="unknown",I198="not_sent"),OR(K198="yes",K198="no",K198="none",K198="conflict",K198="unknown"),OR(L198="text",L198="emoji",L198="voice",L198="none",L198="unknown"),OR(M198="yes",M198="no",M198="unknown"),OR(N198="yes",N198="no",N198="unknown"),ISNUMBER(O198),OR(O198=0,O198=1),OR(P198="",P198="soft_yes",P198="forgot",P198="time_place",P198="clash",P198="travel",P198="personal",P198="unknown",P198="silent_but_came"),OR(I198&lt;&gt;"success",AND(J198&lt;&gt;"",COUNTIFS($J$2:$J$201,J198,$I$2:$I$201,"success")=1)),OR(I198&lt;&gt;"not_sent",J198=""),IF(F198="duplicate",AND(COUNTIFS($A$2:$A$201,G198,$B$2:$B$201,B198,$C$2:$C$201,C198,$F$2:$F$201,"include")=1,H198="no",I198="not_sent",K198="none",M198="no",N198="no",O198=0),AND(G198="",N198&lt;&gt;"unknown",COUNTIFS($B$2:$B$201,B198,$F$2:$F$201,"&lt;&gt;duplicate")=1)),IF(F198="include",AND(H198="yes",K198&lt;&gt;"conflict",K198&lt;&gt;"unknown",M198&lt;&gt;"unknown",IF(OR(K198="yes",K198="no"),AND(M198="yes",OR(L198="text",L198="emoji",L198="voice")),L198="none")),TRUE),IF(F198="late",AND(H198="no",I198="not_sent",K198="none",L198="none",O198=0),TRUE)),"OK","CHECK"),"CHECK"))</x:f>
      </x:c>
      <x:c r="R198" s="3"/>
    </x:row>
    <x:row r="199" ht="22" customHeight="1">
      <x:c r="A199" s="8"/>
      <x:c r="B199" s="8"/>
      <x:c r="C199" s="8"/>
      <x:c r="D199" s="8"/>
      <x:c r="E199" s="7"/>
      <x:c r="F199" s="7"/>
      <x:c r="G199" s="7"/>
      <x:c r="H199" s="7"/>
      <x:c r="I199" s="7"/>
      <x:c r="J199" s="8"/>
      <x:c r="K199" s="7"/>
      <x:c r="L199" s="7"/>
      <x:c r="M199" s="7"/>
      <x:c r="N199" s="7"/>
      <x:c r="O199" s="7"/>
      <x:c r="P199" s="7"/>
      <x:c r="Q199" s="3" t="str">
        <x:f>IF(COUNTA(A199:P199)=0,"",IFERROR(IF(AND(A199&lt;&gt;"",COUNTIF($A$2:$A$201,A199)=1,OR(LEFT(B199,2)="V-",LEFT(B199,4)="SYN-"),LEN(MID(B199,IF(LEFT(B199,2)="V-",3,5),30))&gt;0,ISNUMBER(VALUE(MID(B199,IF(LEFT(B199,2)="V-",3,5),30))),VALUE(MID(B199,IF(LEFT(B199,2)="V-",3,5),30))&gt;=0,MOD(VALUE(MID(B199,IF(LEFT(B199,2)="V-",3,5),30)),1)=0,COUNTIFS(Slots!$A$2:$A$31,"E2",Slots!$B$2:$B$31,C199)=1,ISNUMBER(SEARCH("|"&amp;D199&amp;"|","|"&amp;Settings!$B$9&amp;"|")),OR(E199="regular",E199="first"),OR(F199="include",F199="duplicate",F199="late"),OR(H199="yes",H199="no"),OR(I199="success",I199="failed",I199="unknown",I199="not_sent"),OR(K199="yes",K199="no",K199="none",K199="conflict",K199="unknown"),OR(L199="text",L199="emoji",L199="voice",L199="none",L199="unknown"),OR(M199="yes",M199="no",M199="unknown"),OR(N199="yes",N199="no",N199="unknown"),ISNUMBER(O199),OR(O199=0,O199=1),OR(P199="",P199="soft_yes",P199="forgot",P199="time_place",P199="clash",P199="travel",P199="personal",P199="unknown",P199="silent_but_came"),OR(I199&lt;&gt;"success",AND(J199&lt;&gt;"",COUNTIFS($J$2:$J$201,J199,$I$2:$I$201,"success")=1)),OR(I199&lt;&gt;"not_sent",J199=""),IF(F199="duplicate",AND(COUNTIFS($A$2:$A$201,G199,$B$2:$B$201,B199,$C$2:$C$201,C199,$F$2:$F$201,"include")=1,H199="no",I199="not_sent",K199="none",M199="no",N199="no",O199=0),AND(G199="",N199&lt;&gt;"unknown",COUNTIFS($B$2:$B$201,B199,$F$2:$F$201,"&lt;&gt;duplicate")=1)),IF(F199="include",AND(H199="yes",K199&lt;&gt;"conflict",K199&lt;&gt;"unknown",M199&lt;&gt;"unknown",IF(OR(K199="yes",K199="no"),AND(M199="yes",OR(L199="text",L199="emoji",L199="voice")),L199="none")),TRUE),IF(F199="late",AND(H199="no",I199="not_sent",K199="none",L199="none",O199=0),TRUE)),"OK","CHECK"),"CHECK"))</x:f>
      </x:c>
      <x:c r="R199" s="3"/>
    </x:row>
    <x:row r="200" ht="22" customHeight="1">
      <x:c r="A200" s="8"/>
      <x:c r="B200" s="8"/>
      <x:c r="C200" s="8"/>
      <x:c r="D200" s="8"/>
      <x:c r="E200" s="7"/>
      <x:c r="F200" s="7"/>
      <x:c r="G200" s="7"/>
      <x:c r="H200" s="7"/>
      <x:c r="I200" s="7"/>
      <x:c r="J200" s="8"/>
      <x:c r="K200" s="7"/>
      <x:c r="L200" s="7"/>
      <x:c r="M200" s="7"/>
      <x:c r="N200" s="7"/>
      <x:c r="O200" s="7"/>
      <x:c r="P200" s="7"/>
      <x:c r="Q200" s="3" t="str">
        <x:f>IF(COUNTA(A200:P200)=0,"",IFERROR(IF(AND(A200&lt;&gt;"",COUNTIF($A$2:$A$201,A200)=1,OR(LEFT(B200,2)="V-",LEFT(B200,4)="SYN-"),LEN(MID(B200,IF(LEFT(B200,2)="V-",3,5),30))&gt;0,ISNUMBER(VALUE(MID(B200,IF(LEFT(B200,2)="V-",3,5),30))),VALUE(MID(B200,IF(LEFT(B200,2)="V-",3,5),30))&gt;=0,MOD(VALUE(MID(B200,IF(LEFT(B200,2)="V-",3,5),30)),1)=0,COUNTIFS(Slots!$A$2:$A$31,"E2",Slots!$B$2:$B$31,C200)=1,ISNUMBER(SEARCH("|"&amp;D200&amp;"|","|"&amp;Settings!$B$9&amp;"|")),OR(E200="regular",E200="first"),OR(F200="include",F200="duplicate",F200="late"),OR(H200="yes",H200="no"),OR(I200="success",I200="failed",I200="unknown",I200="not_sent"),OR(K200="yes",K200="no",K200="none",K200="conflict",K200="unknown"),OR(L200="text",L200="emoji",L200="voice",L200="none",L200="unknown"),OR(M200="yes",M200="no",M200="unknown"),OR(N200="yes",N200="no",N200="unknown"),ISNUMBER(O200),OR(O200=0,O200=1),OR(P200="",P200="soft_yes",P200="forgot",P200="time_place",P200="clash",P200="travel",P200="personal",P200="unknown",P200="silent_but_came"),OR(I200&lt;&gt;"success",AND(J200&lt;&gt;"",COUNTIFS($J$2:$J$201,J200,$I$2:$I$201,"success")=1)),OR(I200&lt;&gt;"not_sent",J200=""),IF(F200="duplicate",AND(COUNTIFS($A$2:$A$201,G200,$B$2:$B$201,B200,$C$2:$C$201,C200,$F$2:$F$201,"include")=1,H200="no",I200="not_sent",K200="none",M200="no",N200="no",O200=0),AND(G200="",N200&lt;&gt;"unknown",COUNTIFS($B$2:$B$201,B200,$F$2:$F$201,"&lt;&gt;duplicate")=1)),IF(F200="include",AND(H200="yes",K200&lt;&gt;"conflict",K200&lt;&gt;"unknown",M200&lt;&gt;"unknown",IF(OR(K200="yes",K200="no"),AND(M200="yes",OR(L200="text",L200="emoji",L200="voice")),L200="none")),TRUE),IF(F200="late",AND(H200="no",I200="not_sent",K200="none",L200="none",O200=0),TRUE)),"OK","CHECK"),"CHECK"))</x:f>
      </x:c>
      <x:c r="R200" s="3"/>
    </x:row>
    <x:row r="201" ht="22" customHeight="1">
      <x:c r="A201" s="8"/>
      <x:c r="B201" s="8"/>
      <x:c r="C201" s="8"/>
      <x:c r="D201" s="8"/>
      <x:c r="E201" s="7"/>
      <x:c r="F201" s="7"/>
      <x:c r="G201" s="7"/>
      <x:c r="H201" s="7"/>
      <x:c r="I201" s="7"/>
      <x:c r="J201" s="8"/>
      <x:c r="K201" s="7"/>
      <x:c r="L201" s="7"/>
      <x:c r="M201" s="7"/>
      <x:c r="N201" s="7"/>
      <x:c r="O201" s="7"/>
      <x:c r="P201" s="7"/>
      <x:c r="Q201" s="3" t="str">
        <x:f>IF(COUNTA(A201:P201)=0,"",IFERROR(IF(AND(A201&lt;&gt;"",COUNTIF($A$2:$A$201,A201)=1,OR(LEFT(B201,2)="V-",LEFT(B201,4)="SYN-"),LEN(MID(B201,IF(LEFT(B201,2)="V-",3,5),30))&gt;0,ISNUMBER(VALUE(MID(B201,IF(LEFT(B201,2)="V-",3,5),30))),VALUE(MID(B201,IF(LEFT(B201,2)="V-",3,5),30))&gt;=0,MOD(VALUE(MID(B201,IF(LEFT(B201,2)="V-",3,5),30)),1)=0,COUNTIFS(Slots!$A$2:$A$31,"E2",Slots!$B$2:$B$31,C201)=1,ISNUMBER(SEARCH("|"&amp;D201&amp;"|","|"&amp;Settings!$B$9&amp;"|")),OR(E201="regular",E201="first"),OR(F201="include",F201="duplicate",F201="late"),OR(H201="yes",H201="no"),OR(I201="success",I201="failed",I201="unknown",I201="not_sent"),OR(K201="yes",K201="no",K201="none",K201="conflict",K201="unknown"),OR(L201="text",L201="emoji",L201="voice",L201="none",L201="unknown"),OR(M201="yes",M201="no",M201="unknown"),OR(N201="yes",N201="no",N201="unknown"),ISNUMBER(O201),OR(O201=0,O201=1),OR(P201="",P201="soft_yes",P201="forgot",P201="time_place",P201="clash",P201="travel",P201="personal",P201="unknown",P201="silent_but_came"),OR(I201&lt;&gt;"success",AND(J201&lt;&gt;"",COUNTIFS($J$2:$J$201,J201,$I$2:$I$201,"success")=1)),OR(I201&lt;&gt;"not_sent",J201=""),IF(F201="duplicate",AND(COUNTIFS($A$2:$A$201,G201,$B$2:$B$201,B201,$C$2:$C$201,C201,$F$2:$F$201,"include")=1,H201="no",I201="not_sent",K201="none",M201="no",N201="no",O201=0),AND(G201="",N201&lt;&gt;"unknown",COUNTIFS($B$2:$B$201,B201,$F$2:$F$201,"&lt;&gt;duplicate")=1)),IF(F201="include",AND(H201="yes",K201&lt;&gt;"conflict",K201&lt;&gt;"unknown",M201&lt;&gt;"unknown",IF(OR(K201="yes",K201="no"),AND(M201="yes",OR(L201="text",L201="emoji",L201="voice")),L201="none")),TRUE),IF(F201="late",AND(H201="no",I201="not_sent",K201="none",L201="none",O201=0),TRUE)),"OK","CHECK"),"CHECK"))</x:f>
      </x:c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conditionalFormatting sqref="Q2:Q201">
    <x:cfRule type="containsText" dxfId="1" priority="1" operator="containsText" text="CHECK"/>
  </x:conditionalFormatting>
  <x:dataValidations count="11">
    <x:dataValidation type="list" sqref="D2:D201">
      <x:formula1>"EN,ZH,MS,TA"</x:formula1>
    </x:dataValidation>
    <x:dataValidation type="list" sqref="E2:E201">
      <x:formula1>"regular,first"</x:formula1>
    </x:dataValidation>
    <x:dataValidation type="list" sqref="F2:F201">
      <x:formula1>"include,duplicate,late"</x:formula1>
    </x:dataValidation>
    <x:dataValidation type="list" sqref="H2:H201">
      <x:formula1>"yes,no"</x:formula1>
    </x:dataValidation>
    <x:dataValidation type="list" sqref="I2:I201">
      <x:formula1>"success,failed,unknown,not_sent"</x:formula1>
    </x:dataValidation>
    <x:dataValidation type="list" sqref="K2:K201">
      <x:formula1>"yes,no,none,conflict,unknown"</x:formula1>
    </x:dataValidation>
    <x:dataValidation type="list" sqref="L2:L201">
      <x:formula1>"text,emoji,voice,none,unknown"</x:formula1>
    </x:dataValidation>
    <x:dataValidation type="list" sqref="M2:M201">
      <x:formula1>"yes,no,unknown"</x:formula1>
    </x:dataValidation>
    <x:dataValidation type="list" sqref="N2:N201">
      <x:formula1>"yes,no,unknown"</x:formula1>
    </x:dataValidation>
    <x:dataValidation type="list" sqref="P2:P201">
      <x:formula1>"soft_yes,forgot,time_place,clash,travel,personal,unknown,silent_but_came"</x:formula1>
    </x:dataValidation>
    <x:dataValidation type="whole" operator="between" sqref="O2:O201">
      <x:formula1>0</x:formula1>
      <x:formula2>1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event_id</x:v>
      </x:c>
      <x:c r="B1" s="6" t="str">
        <x:v>slot_id</x:v>
      </x:c>
      <x:c r="C1" s="6" t="str">
        <x:v>role</x:v>
      </x:c>
      <x:c r="D1" s="6" t="str">
        <x:v>start_time</x:v>
      </x:c>
      <x:c r="E1" s="6" t="str">
        <x:v>required</x:v>
      </x:c>
      <x:c r="F1" s="6" t="str">
        <x:v>confirmed</x:v>
      </x:c>
      <x:c r="G1" s="6" t="str">
        <x:v>shortfall</x:v>
      </x:c>
      <x:c r="H1" s="6" t="str">
        <x:v>attended</x:v>
      </x:c>
      <x:c r="I1" s="6" t="str">
        <x:v>actual_shortfall</x:v>
      </x:c>
      <x:c r="J1" s="6" t="str">
        <x:v>input_check</x:v>
      </x:c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7"/>
      <x:c r="B2" s="7"/>
      <x:c r="C2" s="7"/>
      <x:c r="D2" s="7"/>
      <x:c r="E2" s="7"/>
      <x:c r="F2" s="3" t="str">
        <x:f>IF(A2="","",IF(J2&lt;&gt;"OK","CHECK",IF(A2="E1",COUNTIFS(E1!$C$2:$C$201,B2,E1!$F$2:$F$201,"include",E1!$K$2:$K$201,"yes"),COUNTIFS(E2!$C$2:$C$201,B2,E2!$F$2:$F$201,"include",E2!$K$2:$K$201,"yes"))))</x:f>
      </x:c>
      <x:c r="G2" s="3" t="str">
        <x:f>IF(A2="","",IF(ISNUMBER(F2),MAX(0,E2-F2),"CHECK"))</x:f>
      </x:c>
      <x:c r="H2" s="3" t="str">
        <x:f>IF(A2="","",IF(J2&lt;&gt;"OK","CHECK",IF(A2="E1",COUNTIFS(E1!$C$2:$C$201,B2,E1!$F$2:$F$201,"&lt;&gt;duplicate",E1!$N$2:$N$201,"yes"),COUNTIFS(E2!$C$2:$C$201,B2,E2!$F$2:$F$201,"&lt;&gt;duplicate",E2!$N$2:$N$201,"yes"))))</x:f>
      </x:c>
      <x:c r="I2" s="3" t="str">
        <x:f>IF(A2="","",IF(ISNUMBER(H2),MAX(0,E2-H2),"CHECK"))</x:f>
      </x:c>
      <x:c r="J2" s="3" t="str">
        <x:f>IF(COUNTA(A2:E2)=0,"",IFERROR(IF(AND(OR(A2="E1",A2="E2"),B2&lt;&gt;"",C2&lt;&gt;"",D2&lt;&gt;"",ISNUMBER(E2),E2&gt;=0,MOD(E2,1)=0,COUNTIFS($A$2:$A$31,A2,$B$2:$B$31,B2)=1),"OK","CHECK"),"CHECK"))</x:f>
      </x:c>
      <x:c r="K2" s="3"/>
      <x:c r="L2" s="3"/>
      <x:c r="M2" s="3"/>
      <x:c r="N2" s="3"/>
      <x:c r="O2" s="3"/>
      <x:c r="P2" s="3"/>
      <x:c r="Q2" s="3"/>
      <x:c r="R2" s="3"/>
    </x:row>
    <x:row r="3" ht="22" customHeight="1">
      <x:c r="A3" s="7"/>
      <x:c r="B3" s="7"/>
      <x:c r="C3" s="7"/>
      <x:c r="D3" s="7"/>
      <x:c r="E3" s="7"/>
      <x:c r="F3" s="3" t="str">
        <x:f>IF(A3="","",IF(J3&lt;&gt;"OK","CHECK",IF(A3="E1",COUNTIFS(E1!$C$2:$C$201,B3,E1!$F$2:$F$201,"include",E1!$K$2:$K$201,"yes"),COUNTIFS(E2!$C$2:$C$201,B3,E2!$F$2:$F$201,"include",E2!$K$2:$K$201,"yes"))))</x:f>
      </x:c>
      <x:c r="G3" s="3" t="str">
        <x:f>IF(A3="","",IF(ISNUMBER(F3),MAX(0,E3-F3),"CHECK"))</x:f>
      </x:c>
      <x:c r="H3" s="3" t="str">
        <x:f>IF(A3="","",IF(J3&lt;&gt;"OK","CHECK",IF(A3="E1",COUNTIFS(E1!$C$2:$C$201,B3,E1!$F$2:$F$201,"&lt;&gt;duplicate",E1!$N$2:$N$201,"yes"),COUNTIFS(E2!$C$2:$C$201,B3,E2!$F$2:$F$201,"&lt;&gt;duplicate",E2!$N$2:$N$201,"yes"))))</x:f>
      </x:c>
      <x:c r="I3" s="3" t="str">
        <x:f>IF(A3="","",IF(ISNUMBER(H3),MAX(0,E3-H3),"CHECK"))</x:f>
      </x:c>
      <x:c r="J3" s="3" t="str">
        <x:f>IF(COUNTA(A3:E3)=0,"",IFERROR(IF(AND(OR(A3="E1",A3="E2"),B3&lt;&gt;"",C3&lt;&gt;"",D3&lt;&gt;"",ISNUMBER(E3),E3&gt;=0,MOD(E3,1)=0,COUNTIFS($A$2:$A$31,A3,$B$2:$B$31,B3)=1),"OK","CHECK"),"CHECK"))</x:f>
      </x:c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7"/>
      <x:c r="B4" s="7"/>
      <x:c r="C4" s="7"/>
      <x:c r="D4" s="7"/>
      <x:c r="E4" s="7"/>
      <x:c r="F4" s="3" t="str">
        <x:f>IF(A4="","",IF(J4&lt;&gt;"OK","CHECK",IF(A4="E1",COUNTIFS(E1!$C$2:$C$201,B4,E1!$F$2:$F$201,"include",E1!$K$2:$K$201,"yes"),COUNTIFS(E2!$C$2:$C$201,B4,E2!$F$2:$F$201,"include",E2!$K$2:$K$201,"yes"))))</x:f>
      </x:c>
      <x:c r="G4" s="3" t="str">
        <x:f>IF(A4="","",IF(ISNUMBER(F4),MAX(0,E4-F4),"CHECK"))</x:f>
      </x:c>
      <x:c r="H4" s="3" t="str">
        <x:f>IF(A4="","",IF(J4&lt;&gt;"OK","CHECK",IF(A4="E1",COUNTIFS(E1!$C$2:$C$201,B4,E1!$F$2:$F$201,"&lt;&gt;duplicate",E1!$N$2:$N$201,"yes"),COUNTIFS(E2!$C$2:$C$201,B4,E2!$F$2:$F$201,"&lt;&gt;duplicate",E2!$N$2:$N$201,"yes"))))</x:f>
      </x:c>
      <x:c r="I4" s="3" t="str">
        <x:f>IF(A4="","",IF(ISNUMBER(H4),MAX(0,E4-H4),"CHECK"))</x:f>
      </x:c>
      <x:c r="J4" s="3" t="str">
        <x:f>IF(COUNTA(A4:E4)=0,"",IFERROR(IF(AND(OR(A4="E1",A4="E2"),B4&lt;&gt;"",C4&lt;&gt;"",D4&lt;&gt;"",ISNUMBER(E4),E4&gt;=0,MOD(E4,1)=0,COUNTIFS($A$2:$A$31,A4,$B$2:$B$31,B4)=1),"OK","CHECK"),"CHECK"))</x:f>
      </x:c>
      <x:c r="K4" s="3"/>
      <x:c r="L4" s="3"/>
      <x:c r="M4" s="3"/>
      <x:c r="N4" s="3"/>
      <x:c r="O4" s="3"/>
      <x:c r="P4" s="3"/>
      <x:c r="Q4" s="3"/>
      <x:c r="R4" s="3"/>
    </x:row>
    <x:row r="5" ht="22" customHeight="1">
      <x:c r="A5" s="7"/>
      <x:c r="B5" s="7"/>
      <x:c r="C5" s="7"/>
      <x:c r="D5" s="7"/>
      <x:c r="E5" s="7"/>
      <x:c r="F5" s="3" t="str">
        <x:f>IF(A5="","",IF(J5&lt;&gt;"OK","CHECK",IF(A5="E1",COUNTIFS(E1!$C$2:$C$201,B5,E1!$F$2:$F$201,"include",E1!$K$2:$K$201,"yes"),COUNTIFS(E2!$C$2:$C$201,B5,E2!$F$2:$F$201,"include",E2!$K$2:$K$201,"yes"))))</x:f>
      </x:c>
      <x:c r="G5" s="3" t="str">
        <x:f>IF(A5="","",IF(ISNUMBER(F5),MAX(0,E5-F5),"CHECK"))</x:f>
      </x:c>
      <x:c r="H5" s="3" t="str">
        <x:f>IF(A5="","",IF(J5&lt;&gt;"OK","CHECK",IF(A5="E1",COUNTIFS(E1!$C$2:$C$201,B5,E1!$F$2:$F$201,"&lt;&gt;duplicate",E1!$N$2:$N$201,"yes"),COUNTIFS(E2!$C$2:$C$201,B5,E2!$F$2:$F$201,"&lt;&gt;duplicate",E2!$N$2:$N$201,"yes"))))</x:f>
      </x:c>
      <x:c r="I5" s="3" t="str">
        <x:f>IF(A5="","",IF(ISNUMBER(H5),MAX(0,E5-H5),"CHECK"))</x:f>
      </x:c>
      <x:c r="J5" s="3" t="str">
        <x:f>IF(COUNTA(A5:E5)=0,"",IFERROR(IF(AND(OR(A5="E1",A5="E2"),B5&lt;&gt;"",C5&lt;&gt;"",D5&lt;&gt;"",ISNUMBER(E5),E5&gt;=0,MOD(E5,1)=0,COUNTIFS($A$2:$A$31,A5,$B$2:$B$31,B5)=1),"OK","CHECK"),"CHECK"))</x:f>
      </x:c>
      <x:c r="K5" s="3"/>
      <x:c r="L5" s="3"/>
      <x:c r="M5" s="3"/>
      <x:c r="N5" s="3"/>
      <x:c r="O5" s="3"/>
      <x:c r="P5" s="3"/>
      <x:c r="Q5" s="3"/>
      <x:c r="R5" s="3"/>
    </x:row>
    <x:row r="6" ht="22" customHeight="1">
      <x:c r="A6" s="7"/>
      <x:c r="B6" s="7"/>
      <x:c r="C6" s="7"/>
      <x:c r="D6" s="7"/>
      <x:c r="E6" s="7"/>
      <x:c r="F6" s="3" t="str">
        <x:f>IF(A6="","",IF(J6&lt;&gt;"OK","CHECK",IF(A6="E1",COUNTIFS(E1!$C$2:$C$201,B6,E1!$F$2:$F$201,"include",E1!$K$2:$K$201,"yes"),COUNTIFS(E2!$C$2:$C$201,B6,E2!$F$2:$F$201,"include",E2!$K$2:$K$201,"yes"))))</x:f>
      </x:c>
      <x:c r="G6" s="3" t="str">
        <x:f>IF(A6="","",IF(ISNUMBER(F6),MAX(0,E6-F6),"CHECK"))</x:f>
      </x:c>
      <x:c r="H6" s="3" t="str">
        <x:f>IF(A6="","",IF(J6&lt;&gt;"OK","CHECK",IF(A6="E1",COUNTIFS(E1!$C$2:$C$201,B6,E1!$F$2:$F$201,"&lt;&gt;duplicate",E1!$N$2:$N$201,"yes"),COUNTIFS(E2!$C$2:$C$201,B6,E2!$F$2:$F$201,"&lt;&gt;duplicate",E2!$N$2:$N$201,"yes"))))</x:f>
      </x:c>
      <x:c r="I6" s="3" t="str">
        <x:f>IF(A6="","",IF(ISNUMBER(H6),MAX(0,E6-H6),"CHECK"))</x:f>
      </x:c>
      <x:c r="J6" s="3" t="str">
        <x:f>IF(COUNTA(A6:E6)=0,"",IFERROR(IF(AND(OR(A6="E1",A6="E2"),B6&lt;&gt;"",C6&lt;&gt;"",D6&lt;&gt;"",ISNUMBER(E6),E6&gt;=0,MOD(E6,1)=0,COUNTIFS($A$2:$A$31,A6,$B$2:$B$31,B6)=1),"OK","CHECK"),"CHECK"))</x:f>
      </x:c>
      <x:c r="K6" s="3"/>
      <x:c r="L6" s="3"/>
      <x:c r="M6" s="3"/>
      <x:c r="N6" s="3"/>
      <x:c r="O6" s="3"/>
      <x:c r="P6" s="3"/>
      <x:c r="Q6" s="3"/>
      <x:c r="R6" s="3"/>
    </x:row>
    <x:row r="7" ht="22" customHeight="1">
      <x:c r="A7" s="7"/>
      <x:c r="B7" s="7"/>
      <x:c r="C7" s="7"/>
      <x:c r="D7" s="7"/>
      <x:c r="E7" s="7"/>
      <x:c r="F7" s="3" t="str">
        <x:f>IF(A7="","",IF(J7&lt;&gt;"OK","CHECK",IF(A7="E1",COUNTIFS(E1!$C$2:$C$201,B7,E1!$F$2:$F$201,"include",E1!$K$2:$K$201,"yes"),COUNTIFS(E2!$C$2:$C$201,B7,E2!$F$2:$F$201,"include",E2!$K$2:$K$201,"yes"))))</x:f>
      </x:c>
      <x:c r="G7" s="3" t="str">
        <x:f>IF(A7="","",IF(ISNUMBER(F7),MAX(0,E7-F7),"CHECK"))</x:f>
      </x:c>
      <x:c r="H7" s="3" t="str">
        <x:f>IF(A7="","",IF(J7&lt;&gt;"OK","CHECK",IF(A7="E1",COUNTIFS(E1!$C$2:$C$201,B7,E1!$F$2:$F$201,"&lt;&gt;duplicate",E1!$N$2:$N$201,"yes"),COUNTIFS(E2!$C$2:$C$201,B7,E2!$F$2:$F$201,"&lt;&gt;duplicate",E2!$N$2:$N$201,"yes"))))</x:f>
      </x:c>
      <x:c r="I7" s="3" t="str">
        <x:f>IF(A7="","",IF(ISNUMBER(H7),MAX(0,E7-H7),"CHECK"))</x:f>
      </x:c>
      <x:c r="J7" s="3" t="str">
        <x:f>IF(COUNTA(A7:E7)=0,"",IFERROR(IF(AND(OR(A7="E1",A7="E2"),B7&lt;&gt;"",C7&lt;&gt;"",D7&lt;&gt;"",ISNUMBER(E7),E7&gt;=0,MOD(E7,1)=0,COUNTIFS($A$2:$A$31,A7,$B$2:$B$31,B7)=1),"OK","CHECK"),"CHECK"))</x:f>
      </x:c>
      <x:c r="K7" s="3"/>
      <x:c r="L7" s="3"/>
      <x:c r="M7" s="3"/>
      <x:c r="N7" s="3"/>
      <x:c r="O7" s="3"/>
      <x:c r="P7" s="3"/>
      <x:c r="Q7" s="3"/>
      <x:c r="R7" s="3"/>
    </x:row>
    <x:row r="8" ht="22" customHeight="1">
      <x:c r="A8" s="7"/>
      <x:c r="B8" s="7"/>
      <x:c r="C8" s="7"/>
      <x:c r="D8" s="7"/>
      <x:c r="E8" s="7"/>
      <x:c r="F8" s="3" t="str">
        <x:f>IF(A8="","",IF(J8&lt;&gt;"OK","CHECK",IF(A8="E1",COUNTIFS(E1!$C$2:$C$201,B8,E1!$F$2:$F$201,"include",E1!$K$2:$K$201,"yes"),COUNTIFS(E2!$C$2:$C$201,B8,E2!$F$2:$F$201,"include",E2!$K$2:$K$201,"yes"))))</x:f>
      </x:c>
      <x:c r="G8" s="3" t="str">
        <x:f>IF(A8="","",IF(ISNUMBER(F8),MAX(0,E8-F8),"CHECK"))</x:f>
      </x:c>
      <x:c r="H8" s="3" t="str">
        <x:f>IF(A8="","",IF(J8&lt;&gt;"OK","CHECK",IF(A8="E1",COUNTIFS(E1!$C$2:$C$201,B8,E1!$F$2:$F$201,"&lt;&gt;duplicate",E1!$N$2:$N$201,"yes"),COUNTIFS(E2!$C$2:$C$201,B8,E2!$F$2:$F$201,"&lt;&gt;duplicate",E2!$N$2:$N$201,"yes"))))</x:f>
      </x:c>
      <x:c r="I8" s="3" t="str">
        <x:f>IF(A8="","",IF(ISNUMBER(H8),MAX(0,E8-H8),"CHECK"))</x:f>
      </x:c>
      <x:c r="J8" s="3" t="str">
        <x:f>IF(COUNTA(A8:E8)=0,"",IFERROR(IF(AND(OR(A8="E1",A8="E2"),B8&lt;&gt;"",C8&lt;&gt;"",D8&lt;&gt;"",ISNUMBER(E8),E8&gt;=0,MOD(E8,1)=0,COUNTIFS($A$2:$A$31,A8,$B$2:$B$31,B8)=1),"OK","CHECK"),"CHECK"))</x:f>
      </x:c>
      <x:c r="K8" s="3"/>
      <x:c r="L8" s="3"/>
      <x:c r="M8" s="3"/>
      <x:c r="N8" s="3"/>
      <x:c r="O8" s="3"/>
      <x:c r="P8" s="3"/>
      <x:c r="Q8" s="3"/>
      <x:c r="R8" s="3"/>
    </x:row>
    <x:row r="9" ht="22" customHeight="1">
      <x:c r="A9" s="7"/>
      <x:c r="B9" s="7"/>
      <x:c r="C9" s="7"/>
      <x:c r="D9" s="7"/>
      <x:c r="E9" s="7"/>
      <x:c r="F9" s="3" t="str">
        <x:f>IF(A9="","",IF(J9&lt;&gt;"OK","CHECK",IF(A9="E1",COUNTIFS(E1!$C$2:$C$201,B9,E1!$F$2:$F$201,"include",E1!$K$2:$K$201,"yes"),COUNTIFS(E2!$C$2:$C$201,B9,E2!$F$2:$F$201,"include",E2!$K$2:$K$201,"yes"))))</x:f>
      </x:c>
      <x:c r="G9" s="3" t="str">
        <x:f>IF(A9="","",IF(ISNUMBER(F9),MAX(0,E9-F9),"CHECK"))</x:f>
      </x:c>
      <x:c r="H9" s="3" t="str">
        <x:f>IF(A9="","",IF(J9&lt;&gt;"OK","CHECK",IF(A9="E1",COUNTIFS(E1!$C$2:$C$201,B9,E1!$F$2:$F$201,"&lt;&gt;duplicate",E1!$N$2:$N$201,"yes"),COUNTIFS(E2!$C$2:$C$201,B9,E2!$F$2:$F$201,"&lt;&gt;duplicate",E2!$N$2:$N$201,"yes"))))</x:f>
      </x:c>
      <x:c r="I9" s="3" t="str">
        <x:f>IF(A9="","",IF(ISNUMBER(H9),MAX(0,E9-H9),"CHECK"))</x:f>
      </x:c>
      <x:c r="J9" s="3" t="str">
        <x:f>IF(COUNTA(A9:E9)=0,"",IFERROR(IF(AND(OR(A9="E1",A9="E2"),B9&lt;&gt;"",C9&lt;&gt;"",D9&lt;&gt;"",ISNUMBER(E9),E9&gt;=0,MOD(E9,1)=0,COUNTIFS($A$2:$A$31,A9,$B$2:$B$31,B9)=1),"OK","CHECK"),"CHECK"))</x:f>
      </x:c>
      <x:c r="K9" s="3"/>
      <x:c r="L9" s="3"/>
      <x:c r="M9" s="3"/>
      <x:c r="N9" s="3"/>
      <x:c r="O9" s="3"/>
      <x:c r="P9" s="3"/>
      <x:c r="Q9" s="3"/>
      <x:c r="R9" s="3"/>
    </x:row>
    <x:row r="10" ht="22" customHeight="1">
      <x:c r="A10" s="7"/>
      <x:c r="B10" s="7"/>
      <x:c r="C10" s="7"/>
      <x:c r="D10" s="7"/>
      <x:c r="E10" s="7"/>
      <x:c r="F10" s="3" t="str">
        <x:f>IF(A10="","",IF(J10&lt;&gt;"OK","CHECK",IF(A10="E1",COUNTIFS(E1!$C$2:$C$201,B10,E1!$F$2:$F$201,"include",E1!$K$2:$K$201,"yes"),COUNTIFS(E2!$C$2:$C$201,B10,E2!$F$2:$F$201,"include",E2!$K$2:$K$201,"yes"))))</x:f>
      </x:c>
      <x:c r="G10" s="3" t="str">
        <x:f>IF(A10="","",IF(ISNUMBER(F10),MAX(0,E10-F10),"CHECK"))</x:f>
      </x:c>
      <x:c r="H10" s="3" t="str">
        <x:f>IF(A10="","",IF(J10&lt;&gt;"OK","CHECK",IF(A10="E1",COUNTIFS(E1!$C$2:$C$201,B10,E1!$F$2:$F$201,"&lt;&gt;duplicate",E1!$N$2:$N$201,"yes"),COUNTIFS(E2!$C$2:$C$201,B10,E2!$F$2:$F$201,"&lt;&gt;duplicate",E2!$N$2:$N$201,"yes"))))</x:f>
      </x:c>
      <x:c r="I10" s="3" t="str">
        <x:f>IF(A10="","",IF(ISNUMBER(H10),MAX(0,E10-H10),"CHECK"))</x:f>
      </x:c>
      <x:c r="J10" s="3" t="str">
        <x:f>IF(COUNTA(A10:E10)=0,"",IFERROR(IF(AND(OR(A10="E1",A10="E2"),B10&lt;&gt;"",C10&lt;&gt;"",D10&lt;&gt;"",ISNUMBER(E10),E10&gt;=0,MOD(E10,1)=0,COUNTIFS($A$2:$A$31,A10,$B$2:$B$31,B10)=1),"OK","CHECK"),"CHECK"))</x:f>
      </x:c>
      <x:c r="K10" s="3"/>
      <x:c r="L10" s="3"/>
      <x:c r="M10" s="3"/>
      <x:c r="N10" s="3"/>
      <x:c r="O10" s="3"/>
      <x:c r="P10" s="3"/>
      <x:c r="Q10" s="3"/>
      <x:c r="R10" s="3"/>
    </x:row>
    <x:row r="11" ht="22" customHeight="1">
      <x:c r="A11" s="7"/>
      <x:c r="B11" s="7"/>
      <x:c r="C11" s="7"/>
      <x:c r="D11" s="7"/>
      <x:c r="E11" s="7"/>
      <x:c r="F11" s="3" t="str">
        <x:f>IF(A11="","",IF(J11&lt;&gt;"OK","CHECK",IF(A11="E1",COUNTIFS(E1!$C$2:$C$201,B11,E1!$F$2:$F$201,"include",E1!$K$2:$K$201,"yes"),COUNTIFS(E2!$C$2:$C$201,B11,E2!$F$2:$F$201,"include",E2!$K$2:$K$201,"yes"))))</x:f>
      </x:c>
      <x:c r="G11" s="3" t="str">
        <x:f>IF(A11="","",IF(ISNUMBER(F11),MAX(0,E11-F11),"CHECK"))</x:f>
      </x:c>
      <x:c r="H11" s="3" t="str">
        <x:f>IF(A11="","",IF(J11&lt;&gt;"OK","CHECK",IF(A11="E1",COUNTIFS(E1!$C$2:$C$201,B11,E1!$F$2:$F$201,"&lt;&gt;duplicate",E1!$N$2:$N$201,"yes"),COUNTIFS(E2!$C$2:$C$201,B11,E2!$F$2:$F$201,"&lt;&gt;duplicate",E2!$N$2:$N$201,"yes"))))</x:f>
      </x:c>
      <x:c r="I11" s="3" t="str">
        <x:f>IF(A11="","",IF(ISNUMBER(H11),MAX(0,E11-H11),"CHECK"))</x:f>
      </x:c>
      <x:c r="J11" s="3" t="str">
        <x:f>IF(COUNTA(A11:E11)=0,"",IFERROR(IF(AND(OR(A11="E1",A11="E2"),B11&lt;&gt;"",C11&lt;&gt;"",D11&lt;&gt;"",ISNUMBER(E11),E11&gt;=0,MOD(E11,1)=0,COUNTIFS($A$2:$A$31,A11,$B$2:$B$31,B11)=1),"OK","CHECK"),"CHECK"))</x:f>
      </x:c>
      <x:c r="K11" s="3"/>
      <x:c r="L11" s="3"/>
      <x:c r="M11" s="3"/>
      <x:c r="N11" s="3"/>
      <x:c r="O11" s="3"/>
      <x:c r="P11" s="3"/>
      <x:c r="Q11" s="3"/>
      <x:c r="R11" s="3"/>
    </x:row>
    <x:row r="12" ht="22" customHeight="1">
      <x:c r="A12" s="7"/>
      <x:c r="B12" s="7"/>
      <x:c r="C12" s="7"/>
      <x:c r="D12" s="7"/>
      <x:c r="E12" s="7"/>
      <x:c r="F12" s="3" t="str">
        <x:f>IF(A12="","",IF(J12&lt;&gt;"OK","CHECK",IF(A12="E1",COUNTIFS(E1!$C$2:$C$201,B12,E1!$F$2:$F$201,"include",E1!$K$2:$K$201,"yes"),COUNTIFS(E2!$C$2:$C$201,B12,E2!$F$2:$F$201,"include",E2!$K$2:$K$201,"yes"))))</x:f>
      </x:c>
      <x:c r="G12" s="3" t="str">
        <x:f>IF(A12="","",IF(ISNUMBER(F12),MAX(0,E12-F12),"CHECK"))</x:f>
      </x:c>
      <x:c r="H12" s="3" t="str">
        <x:f>IF(A12="","",IF(J12&lt;&gt;"OK","CHECK",IF(A12="E1",COUNTIFS(E1!$C$2:$C$201,B12,E1!$F$2:$F$201,"&lt;&gt;duplicate",E1!$N$2:$N$201,"yes"),COUNTIFS(E2!$C$2:$C$201,B12,E2!$F$2:$F$201,"&lt;&gt;duplicate",E2!$N$2:$N$201,"yes"))))</x:f>
      </x:c>
      <x:c r="I12" s="3" t="str">
        <x:f>IF(A12="","",IF(ISNUMBER(H12),MAX(0,E12-H12),"CHECK"))</x:f>
      </x:c>
      <x:c r="J12" s="3" t="str">
        <x:f>IF(COUNTA(A12:E12)=0,"",IFERROR(IF(AND(OR(A12="E1",A12="E2"),B12&lt;&gt;"",C12&lt;&gt;"",D12&lt;&gt;"",ISNUMBER(E12),E12&gt;=0,MOD(E12,1)=0,COUNTIFS($A$2:$A$31,A12,$B$2:$B$31,B12)=1),"OK","CHECK"),"CHECK"))</x:f>
      </x:c>
      <x:c r="K12" s="3"/>
      <x:c r="L12" s="3"/>
      <x:c r="M12" s="3"/>
      <x:c r="N12" s="3"/>
      <x:c r="O12" s="3"/>
      <x:c r="P12" s="3"/>
      <x:c r="Q12" s="3"/>
      <x:c r="R12" s="3"/>
    </x:row>
    <x:row r="13" ht="22" customHeight="1">
      <x:c r="A13" s="7"/>
      <x:c r="B13" s="7"/>
      <x:c r="C13" s="7"/>
      <x:c r="D13" s="7"/>
      <x:c r="E13" s="7"/>
      <x:c r="F13" s="3" t="str">
        <x:f>IF(A13="","",IF(J13&lt;&gt;"OK","CHECK",IF(A13="E1",COUNTIFS(E1!$C$2:$C$201,B13,E1!$F$2:$F$201,"include",E1!$K$2:$K$201,"yes"),COUNTIFS(E2!$C$2:$C$201,B13,E2!$F$2:$F$201,"include",E2!$K$2:$K$201,"yes"))))</x:f>
      </x:c>
      <x:c r="G13" s="3" t="str">
        <x:f>IF(A13="","",IF(ISNUMBER(F13),MAX(0,E13-F13),"CHECK"))</x:f>
      </x:c>
      <x:c r="H13" s="3" t="str">
        <x:f>IF(A13="","",IF(J13&lt;&gt;"OK","CHECK",IF(A13="E1",COUNTIFS(E1!$C$2:$C$201,B13,E1!$F$2:$F$201,"&lt;&gt;duplicate",E1!$N$2:$N$201,"yes"),COUNTIFS(E2!$C$2:$C$201,B13,E2!$F$2:$F$201,"&lt;&gt;duplicate",E2!$N$2:$N$201,"yes"))))</x:f>
      </x:c>
      <x:c r="I13" s="3" t="str">
        <x:f>IF(A13="","",IF(ISNUMBER(H13),MAX(0,E13-H13),"CHECK"))</x:f>
      </x:c>
      <x:c r="J13" s="3" t="str">
        <x:f>IF(COUNTA(A13:E13)=0,"",IFERROR(IF(AND(OR(A13="E1",A13="E2"),B13&lt;&gt;"",C13&lt;&gt;"",D13&lt;&gt;"",ISNUMBER(E13),E13&gt;=0,MOD(E13,1)=0,COUNTIFS($A$2:$A$31,A13,$B$2:$B$31,B13)=1),"OK","CHECK"),"CHECK"))</x:f>
      </x:c>
      <x:c r="K13" s="3"/>
      <x:c r="L13" s="3"/>
      <x:c r="M13" s="3"/>
      <x:c r="N13" s="3"/>
      <x:c r="O13" s="3"/>
      <x:c r="P13" s="3"/>
      <x:c r="Q13" s="3"/>
      <x:c r="R13" s="3"/>
    </x:row>
    <x:row r="14" ht="22" customHeight="1">
      <x:c r="A14" s="7"/>
      <x:c r="B14" s="7"/>
      <x:c r="C14" s="7"/>
      <x:c r="D14" s="7"/>
      <x:c r="E14" s="7"/>
      <x:c r="F14" s="3" t="str">
        <x:f>IF(A14="","",IF(J14&lt;&gt;"OK","CHECK",IF(A14="E1",COUNTIFS(E1!$C$2:$C$201,B14,E1!$F$2:$F$201,"include",E1!$K$2:$K$201,"yes"),COUNTIFS(E2!$C$2:$C$201,B14,E2!$F$2:$F$201,"include",E2!$K$2:$K$201,"yes"))))</x:f>
      </x:c>
      <x:c r="G14" s="3" t="str">
        <x:f>IF(A14="","",IF(ISNUMBER(F14),MAX(0,E14-F14),"CHECK"))</x:f>
      </x:c>
      <x:c r="H14" s="3" t="str">
        <x:f>IF(A14="","",IF(J14&lt;&gt;"OK","CHECK",IF(A14="E1",COUNTIFS(E1!$C$2:$C$201,B14,E1!$F$2:$F$201,"&lt;&gt;duplicate",E1!$N$2:$N$201,"yes"),COUNTIFS(E2!$C$2:$C$201,B14,E2!$F$2:$F$201,"&lt;&gt;duplicate",E2!$N$2:$N$201,"yes"))))</x:f>
      </x:c>
      <x:c r="I14" s="3" t="str">
        <x:f>IF(A14="","",IF(ISNUMBER(H14),MAX(0,E14-H14),"CHECK"))</x:f>
      </x:c>
      <x:c r="J14" s="3" t="str">
        <x:f>IF(COUNTA(A14:E14)=0,"",IFERROR(IF(AND(OR(A14="E1",A14="E2"),B14&lt;&gt;"",C14&lt;&gt;"",D14&lt;&gt;"",ISNUMBER(E14),E14&gt;=0,MOD(E14,1)=0,COUNTIFS($A$2:$A$31,A14,$B$2:$B$31,B14)=1),"OK","CHECK"),"CHECK"))</x:f>
      </x:c>
      <x:c r="K14" s="3"/>
      <x:c r="L14" s="3"/>
      <x:c r="M14" s="3"/>
      <x:c r="N14" s="3"/>
      <x:c r="O14" s="3"/>
      <x:c r="P14" s="3"/>
      <x:c r="Q14" s="3"/>
      <x:c r="R14" s="3"/>
    </x:row>
    <x:row r="15" ht="22" customHeight="1">
      <x:c r="A15" s="7"/>
      <x:c r="B15" s="7"/>
      <x:c r="C15" s="7"/>
      <x:c r="D15" s="7"/>
      <x:c r="E15" s="7"/>
      <x:c r="F15" s="3" t="str">
        <x:f>IF(A15="","",IF(J15&lt;&gt;"OK","CHECK",IF(A15="E1",COUNTIFS(E1!$C$2:$C$201,B15,E1!$F$2:$F$201,"include",E1!$K$2:$K$201,"yes"),COUNTIFS(E2!$C$2:$C$201,B15,E2!$F$2:$F$201,"include",E2!$K$2:$K$201,"yes"))))</x:f>
      </x:c>
      <x:c r="G15" s="3" t="str">
        <x:f>IF(A15="","",IF(ISNUMBER(F15),MAX(0,E15-F15),"CHECK"))</x:f>
      </x:c>
      <x:c r="H15" s="3" t="str">
        <x:f>IF(A15="","",IF(J15&lt;&gt;"OK","CHECK",IF(A15="E1",COUNTIFS(E1!$C$2:$C$201,B15,E1!$F$2:$F$201,"&lt;&gt;duplicate",E1!$N$2:$N$201,"yes"),COUNTIFS(E2!$C$2:$C$201,B15,E2!$F$2:$F$201,"&lt;&gt;duplicate",E2!$N$2:$N$201,"yes"))))</x:f>
      </x:c>
      <x:c r="I15" s="3" t="str">
        <x:f>IF(A15="","",IF(ISNUMBER(H15),MAX(0,E15-H15),"CHECK"))</x:f>
      </x:c>
      <x:c r="J15" s="3" t="str">
        <x:f>IF(COUNTA(A15:E15)=0,"",IFERROR(IF(AND(OR(A15="E1",A15="E2"),B15&lt;&gt;"",C15&lt;&gt;"",D15&lt;&gt;"",ISNUMBER(E15),E15&gt;=0,MOD(E15,1)=0,COUNTIFS($A$2:$A$31,A15,$B$2:$B$31,B15)=1),"OK","CHECK"),"CHECK"))</x:f>
      </x:c>
      <x:c r="K15" s="3"/>
      <x:c r="L15" s="3"/>
      <x:c r="M15" s="3"/>
      <x:c r="N15" s="3"/>
      <x:c r="O15" s="3"/>
      <x:c r="P15" s="3"/>
      <x:c r="Q15" s="3"/>
      <x:c r="R15" s="3"/>
    </x:row>
    <x:row r="16" ht="22" customHeight="1">
      <x:c r="A16" s="7"/>
      <x:c r="B16" s="7"/>
      <x:c r="C16" s="7"/>
      <x:c r="D16" s="7"/>
      <x:c r="E16" s="7"/>
      <x:c r="F16" s="3" t="str">
        <x:f>IF(A16="","",IF(J16&lt;&gt;"OK","CHECK",IF(A16="E1",COUNTIFS(E1!$C$2:$C$201,B16,E1!$F$2:$F$201,"include",E1!$K$2:$K$201,"yes"),COUNTIFS(E2!$C$2:$C$201,B16,E2!$F$2:$F$201,"include",E2!$K$2:$K$201,"yes"))))</x:f>
      </x:c>
      <x:c r="G16" s="3" t="str">
        <x:f>IF(A16="","",IF(ISNUMBER(F16),MAX(0,E16-F16),"CHECK"))</x:f>
      </x:c>
      <x:c r="H16" s="3" t="str">
        <x:f>IF(A16="","",IF(J16&lt;&gt;"OK","CHECK",IF(A16="E1",COUNTIFS(E1!$C$2:$C$201,B16,E1!$F$2:$F$201,"&lt;&gt;duplicate",E1!$N$2:$N$201,"yes"),COUNTIFS(E2!$C$2:$C$201,B16,E2!$F$2:$F$201,"&lt;&gt;duplicate",E2!$N$2:$N$201,"yes"))))</x:f>
      </x:c>
      <x:c r="I16" s="3" t="str">
        <x:f>IF(A16="","",IF(ISNUMBER(H16),MAX(0,E16-H16),"CHECK"))</x:f>
      </x:c>
      <x:c r="J16" s="3" t="str">
        <x:f>IF(COUNTA(A16:E16)=0,"",IFERROR(IF(AND(OR(A16="E1",A16="E2"),B16&lt;&gt;"",C16&lt;&gt;"",D16&lt;&gt;"",ISNUMBER(E16),E16&gt;=0,MOD(E16,1)=0,COUNTIFS($A$2:$A$31,A16,$B$2:$B$31,B16)=1),"OK","CHECK"),"CHECK"))</x:f>
      </x:c>
      <x:c r="K16" s="3"/>
      <x:c r="L16" s="3"/>
      <x:c r="M16" s="3"/>
      <x:c r="N16" s="3"/>
      <x:c r="O16" s="3"/>
      <x:c r="P16" s="3"/>
      <x:c r="Q16" s="3"/>
      <x:c r="R16" s="3"/>
    </x:row>
    <x:row r="17" ht="22" customHeight="1">
      <x:c r="A17" s="7"/>
      <x:c r="B17" s="7"/>
      <x:c r="C17" s="7"/>
      <x:c r="D17" s="7"/>
      <x:c r="E17" s="7"/>
      <x:c r="F17" s="3" t="str">
        <x:f>IF(A17="","",IF(J17&lt;&gt;"OK","CHECK",IF(A17="E1",COUNTIFS(E1!$C$2:$C$201,B17,E1!$F$2:$F$201,"include",E1!$K$2:$K$201,"yes"),COUNTIFS(E2!$C$2:$C$201,B17,E2!$F$2:$F$201,"include",E2!$K$2:$K$201,"yes"))))</x:f>
      </x:c>
      <x:c r="G17" s="3" t="str">
        <x:f>IF(A17="","",IF(ISNUMBER(F17),MAX(0,E17-F17),"CHECK"))</x:f>
      </x:c>
      <x:c r="H17" s="3" t="str">
        <x:f>IF(A17="","",IF(J17&lt;&gt;"OK","CHECK",IF(A17="E1",COUNTIFS(E1!$C$2:$C$201,B17,E1!$F$2:$F$201,"&lt;&gt;duplicate",E1!$N$2:$N$201,"yes"),COUNTIFS(E2!$C$2:$C$201,B17,E2!$F$2:$F$201,"&lt;&gt;duplicate",E2!$N$2:$N$201,"yes"))))</x:f>
      </x:c>
      <x:c r="I17" s="3" t="str">
        <x:f>IF(A17="","",IF(ISNUMBER(H17),MAX(0,E17-H17),"CHECK"))</x:f>
      </x:c>
      <x:c r="J17" s="3" t="str">
        <x:f>IF(COUNTA(A17:E17)=0,"",IFERROR(IF(AND(OR(A17="E1",A17="E2"),B17&lt;&gt;"",C17&lt;&gt;"",D17&lt;&gt;"",ISNUMBER(E17),E17&gt;=0,MOD(E17,1)=0,COUNTIFS($A$2:$A$31,A17,$B$2:$B$31,B17)=1),"OK","CHECK"),"CHECK"))</x:f>
      </x:c>
      <x:c r="K17" s="3"/>
      <x:c r="L17" s="3"/>
      <x:c r="M17" s="3"/>
      <x:c r="N17" s="3"/>
      <x:c r="O17" s="3"/>
      <x:c r="P17" s="3"/>
      <x:c r="Q17" s="3"/>
      <x:c r="R17" s="3"/>
    </x:row>
    <x:row r="18" ht="22" customHeight="1">
      <x:c r="A18" s="7"/>
      <x:c r="B18" s="7"/>
      <x:c r="C18" s="7"/>
      <x:c r="D18" s="7"/>
      <x:c r="E18" s="7"/>
      <x:c r="F18" s="3" t="str">
        <x:f>IF(A18="","",IF(J18&lt;&gt;"OK","CHECK",IF(A18="E1",COUNTIFS(E1!$C$2:$C$201,B18,E1!$F$2:$F$201,"include",E1!$K$2:$K$201,"yes"),COUNTIFS(E2!$C$2:$C$201,B18,E2!$F$2:$F$201,"include",E2!$K$2:$K$201,"yes"))))</x:f>
      </x:c>
      <x:c r="G18" s="3" t="str">
        <x:f>IF(A18="","",IF(ISNUMBER(F18),MAX(0,E18-F18),"CHECK"))</x:f>
      </x:c>
      <x:c r="H18" s="3" t="str">
        <x:f>IF(A18="","",IF(J18&lt;&gt;"OK","CHECK",IF(A18="E1",COUNTIFS(E1!$C$2:$C$201,B18,E1!$F$2:$F$201,"&lt;&gt;duplicate",E1!$N$2:$N$201,"yes"),COUNTIFS(E2!$C$2:$C$201,B18,E2!$F$2:$F$201,"&lt;&gt;duplicate",E2!$N$2:$N$201,"yes"))))</x:f>
      </x:c>
      <x:c r="I18" s="3" t="str">
        <x:f>IF(A18="","",IF(ISNUMBER(H18),MAX(0,E18-H18),"CHECK"))</x:f>
      </x:c>
      <x:c r="J18" s="3" t="str">
        <x:f>IF(COUNTA(A18:E18)=0,"",IFERROR(IF(AND(OR(A18="E1",A18="E2"),B18&lt;&gt;"",C18&lt;&gt;"",D18&lt;&gt;"",ISNUMBER(E18),E18&gt;=0,MOD(E18,1)=0,COUNTIFS($A$2:$A$31,A18,$B$2:$B$31,B18)=1),"OK","CHECK"),"CHECK"))</x:f>
      </x:c>
      <x:c r="K18" s="3"/>
      <x:c r="L18" s="3"/>
      <x:c r="M18" s="3"/>
      <x:c r="N18" s="3"/>
      <x:c r="O18" s="3"/>
      <x:c r="P18" s="3"/>
      <x:c r="Q18" s="3"/>
      <x:c r="R18" s="3"/>
    </x:row>
    <x:row r="19" ht="22" customHeight="1">
      <x:c r="A19" s="7"/>
      <x:c r="B19" s="7"/>
      <x:c r="C19" s="7"/>
      <x:c r="D19" s="7"/>
      <x:c r="E19" s="7"/>
      <x:c r="F19" s="3" t="str">
        <x:f>IF(A19="","",IF(J19&lt;&gt;"OK","CHECK",IF(A19="E1",COUNTIFS(E1!$C$2:$C$201,B19,E1!$F$2:$F$201,"include",E1!$K$2:$K$201,"yes"),COUNTIFS(E2!$C$2:$C$201,B19,E2!$F$2:$F$201,"include",E2!$K$2:$K$201,"yes"))))</x:f>
      </x:c>
      <x:c r="G19" s="3" t="str">
        <x:f>IF(A19="","",IF(ISNUMBER(F19),MAX(0,E19-F19),"CHECK"))</x:f>
      </x:c>
      <x:c r="H19" s="3" t="str">
        <x:f>IF(A19="","",IF(J19&lt;&gt;"OK","CHECK",IF(A19="E1",COUNTIFS(E1!$C$2:$C$201,B19,E1!$F$2:$F$201,"&lt;&gt;duplicate",E1!$N$2:$N$201,"yes"),COUNTIFS(E2!$C$2:$C$201,B19,E2!$F$2:$F$201,"&lt;&gt;duplicate",E2!$N$2:$N$201,"yes"))))</x:f>
      </x:c>
      <x:c r="I19" s="3" t="str">
        <x:f>IF(A19="","",IF(ISNUMBER(H19),MAX(0,E19-H19),"CHECK"))</x:f>
      </x:c>
      <x:c r="J19" s="3" t="str">
        <x:f>IF(COUNTA(A19:E19)=0,"",IFERROR(IF(AND(OR(A19="E1",A19="E2"),B19&lt;&gt;"",C19&lt;&gt;"",D19&lt;&gt;"",ISNUMBER(E19),E19&gt;=0,MOD(E19,1)=0,COUNTIFS($A$2:$A$31,A19,$B$2:$B$31,B19)=1),"OK","CHECK"),"CHECK"))</x:f>
      </x:c>
      <x:c r="K19" s="3"/>
      <x:c r="L19" s="3"/>
      <x:c r="M19" s="3"/>
      <x:c r="N19" s="3"/>
      <x:c r="O19" s="3"/>
      <x:c r="P19" s="3"/>
      <x:c r="Q19" s="3"/>
      <x:c r="R19" s="3"/>
    </x:row>
    <x:row r="20" ht="22" customHeight="1">
      <x:c r="A20" s="7"/>
      <x:c r="B20" s="7"/>
      <x:c r="C20" s="7"/>
      <x:c r="D20" s="7"/>
      <x:c r="E20" s="7"/>
      <x:c r="F20" s="3" t="str">
        <x:f>IF(A20="","",IF(J20&lt;&gt;"OK","CHECK",IF(A20="E1",COUNTIFS(E1!$C$2:$C$201,B20,E1!$F$2:$F$201,"include",E1!$K$2:$K$201,"yes"),COUNTIFS(E2!$C$2:$C$201,B20,E2!$F$2:$F$201,"include",E2!$K$2:$K$201,"yes"))))</x:f>
      </x:c>
      <x:c r="G20" s="3" t="str">
        <x:f>IF(A20="","",IF(ISNUMBER(F20),MAX(0,E20-F20),"CHECK"))</x:f>
      </x:c>
      <x:c r="H20" s="3" t="str">
        <x:f>IF(A20="","",IF(J20&lt;&gt;"OK","CHECK",IF(A20="E1",COUNTIFS(E1!$C$2:$C$201,B20,E1!$F$2:$F$201,"&lt;&gt;duplicate",E1!$N$2:$N$201,"yes"),COUNTIFS(E2!$C$2:$C$201,B20,E2!$F$2:$F$201,"&lt;&gt;duplicate",E2!$N$2:$N$201,"yes"))))</x:f>
      </x:c>
      <x:c r="I20" s="3" t="str">
        <x:f>IF(A20="","",IF(ISNUMBER(H20),MAX(0,E20-H20),"CHECK"))</x:f>
      </x:c>
      <x:c r="J20" s="3" t="str">
        <x:f>IF(COUNTA(A20:E20)=0,"",IFERROR(IF(AND(OR(A20="E1",A20="E2"),B20&lt;&gt;"",C20&lt;&gt;"",D20&lt;&gt;"",ISNUMBER(E20),E20&gt;=0,MOD(E20,1)=0,COUNTIFS($A$2:$A$31,A20,$B$2:$B$31,B20)=1),"OK","CHECK"),"CHECK"))</x:f>
      </x:c>
      <x:c r="K20" s="3"/>
      <x:c r="L20" s="3"/>
      <x:c r="M20" s="3"/>
      <x:c r="N20" s="3"/>
      <x:c r="O20" s="3"/>
      <x:c r="P20" s="3"/>
      <x:c r="Q20" s="3"/>
      <x:c r="R20" s="3"/>
    </x:row>
    <x:row r="21" ht="22" customHeight="1">
      <x:c r="A21" s="7"/>
      <x:c r="B21" s="7"/>
      <x:c r="C21" s="7"/>
      <x:c r="D21" s="7"/>
      <x:c r="E21" s="7"/>
      <x:c r="F21" s="3" t="str">
        <x:f>IF(A21="","",IF(J21&lt;&gt;"OK","CHECK",IF(A21="E1",COUNTIFS(E1!$C$2:$C$201,B21,E1!$F$2:$F$201,"include",E1!$K$2:$K$201,"yes"),COUNTIFS(E2!$C$2:$C$201,B21,E2!$F$2:$F$201,"include",E2!$K$2:$K$201,"yes"))))</x:f>
      </x:c>
      <x:c r="G21" s="3" t="str">
        <x:f>IF(A21="","",IF(ISNUMBER(F21),MAX(0,E21-F21),"CHECK"))</x:f>
      </x:c>
      <x:c r="H21" s="3" t="str">
        <x:f>IF(A21="","",IF(J21&lt;&gt;"OK","CHECK",IF(A21="E1",COUNTIFS(E1!$C$2:$C$201,B21,E1!$F$2:$F$201,"&lt;&gt;duplicate",E1!$N$2:$N$201,"yes"),COUNTIFS(E2!$C$2:$C$201,B21,E2!$F$2:$F$201,"&lt;&gt;duplicate",E2!$N$2:$N$201,"yes"))))</x:f>
      </x:c>
      <x:c r="I21" s="3" t="str">
        <x:f>IF(A21="","",IF(ISNUMBER(H21),MAX(0,E21-H21),"CHECK"))</x:f>
      </x:c>
      <x:c r="J21" s="3" t="str">
        <x:f>IF(COUNTA(A21:E21)=0,"",IFERROR(IF(AND(OR(A21="E1",A21="E2"),B21&lt;&gt;"",C21&lt;&gt;"",D21&lt;&gt;"",ISNUMBER(E21),E21&gt;=0,MOD(E21,1)=0,COUNTIFS($A$2:$A$31,A21,$B$2:$B$31,B21)=1),"OK","CHECK"),"CHECK"))</x:f>
      </x:c>
      <x:c r="K21" s="3"/>
      <x:c r="L21" s="3"/>
      <x:c r="M21" s="3"/>
      <x:c r="N21" s="3"/>
      <x:c r="O21" s="3"/>
      <x:c r="P21" s="3"/>
      <x:c r="Q21" s="3"/>
      <x:c r="R21" s="3"/>
    </x:row>
    <x:row r="22" ht="22" customHeight="1">
      <x:c r="A22" s="7"/>
      <x:c r="B22" s="7"/>
      <x:c r="C22" s="7"/>
      <x:c r="D22" s="7"/>
      <x:c r="E22" s="7"/>
      <x:c r="F22" s="3" t="str">
        <x:f>IF(A22="","",IF(J22&lt;&gt;"OK","CHECK",IF(A22="E1",COUNTIFS(E1!$C$2:$C$201,B22,E1!$F$2:$F$201,"include",E1!$K$2:$K$201,"yes"),COUNTIFS(E2!$C$2:$C$201,B22,E2!$F$2:$F$201,"include",E2!$K$2:$K$201,"yes"))))</x:f>
      </x:c>
      <x:c r="G22" s="3" t="str">
        <x:f>IF(A22="","",IF(ISNUMBER(F22),MAX(0,E22-F22),"CHECK"))</x:f>
      </x:c>
      <x:c r="H22" s="3" t="str">
        <x:f>IF(A22="","",IF(J22&lt;&gt;"OK","CHECK",IF(A22="E1",COUNTIFS(E1!$C$2:$C$201,B22,E1!$F$2:$F$201,"&lt;&gt;duplicate",E1!$N$2:$N$201,"yes"),COUNTIFS(E2!$C$2:$C$201,B22,E2!$F$2:$F$201,"&lt;&gt;duplicate",E2!$N$2:$N$201,"yes"))))</x:f>
      </x:c>
      <x:c r="I22" s="3" t="str">
        <x:f>IF(A22="","",IF(ISNUMBER(H22),MAX(0,E22-H22),"CHECK"))</x:f>
      </x:c>
      <x:c r="J22" s="3" t="str">
        <x:f>IF(COUNTA(A22:E22)=0,"",IFERROR(IF(AND(OR(A22="E1",A22="E2"),B22&lt;&gt;"",C22&lt;&gt;"",D22&lt;&gt;"",ISNUMBER(E22),E22&gt;=0,MOD(E22,1)=0,COUNTIFS($A$2:$A$31,A22,$B$2:$B$31,B22)=1),"OK","CHECK"),"CHECK"))</x:f>
      </x:c>
      <x:c r="K22" s="3"/>
      <x:c r="L22" s="3"/>
      <x:c r="M22" s="3"/>
      <x:c r="N22" s="3"/>
      <x:c r="O22" s="3"/>
      <x:c r="P22" s="3"/>
      <x:c r="Q22" s="3"/>
      <x:c r="R22" s="3"/>
    </x:row>
    <x:row r="23" ht="22" customHeight="1">
      <x:c r="A23" s="7"/>
      <x:c r="B23" s="7"/>
      <x:c r="C23" s="7"/>
      <x:c r="D23" s="7"/>
      <x:c r="E23" s="7"/>
      <x:c r="F23" s="3" t="str">
        <x:f>IF(A23="","",IF(J23&lt;&gt;"OK","CHECK",IF(A23="E1",COUNTIFS(E1!$C$2:$C$201,B23,E1!$F$2:$F$201,"include",E1!$K$2:$K$201,"yes"),COUNTIFS(E2!$C$2:$C$201,B23,E2!$F$2:$F$201,"include",E2!$K$2:$K$201,"yes"))))</x:f>
      </x:c>
      <x:c r="G23" s="3" t="str">
        <x:f>IF(A23="","",IF(ISNUMBER(F23),MAX(0,E23-F23),"CHECK"))</x:f>
      </x:c>
      <x:c r="H23" s="3" t="str">
        <x:f>IF(A23="","",IF(J23&lt;&gt;"OK","CHECK",IF(A23="E1",COUNTIFS(E1!$C$2:$C$201,B23,E1!$F$2:$F$201,"&lt;&gt;duplicate",E1!$N$2:$N$201,"yes"),COUNTIFS(E2!$C$2:$C$201,B23,E2!$F$2:$F$201,"&lt;&gt;duplicate",E2!$N$2:$N$201,"yes"))))</x:f>
      </x:c>
      <x:c r="I23" s="3" t="str">
        <x:f>IF(A23="","",IF(ISNUMBER(H23),MAX(0,E23-H23),"CHECK"))</x:f>
      </x:c>
      <x:c r="J23" s="3" t="str">
        <x:f>IF(COUNTA(A23:E23)=0,"",IFERROR(IF(AND(OR(A23="E1",A23="E2"),B23&lt;&gt;"",C23&lt;&gt;"",D23&lt;&gt;"",ISNUMBER(E23),E23&gt;=0,MOD(E23,1)=0,COUNTIFS($A$2:$A$31,A23,$B$2:$B$31,B23)=1),"OK","CHECK"),"CHECK"))</x:f>
      </x:c>
      <x:c r="K23" s="3"/>
      <x:c r="L23" s="3"/>
      <x:c r="M23" s="3"/>
      <x:c r="N23" s="3"/>
      <x:c r="O23" s="3"/>
      <x:c r="P23" s="3"/>
      <x:c r="Q23" s="3"/>
      <x:c r="R23" s="3"/>
    </x:row>
    <x:row r="24" ht="22" customHeight="1">
      <x:c r="A24" s="7"/>
      <x:c r="B24" s="7"/>
      <x:c r="C24" s="7"/>
      <x:c r="D24" s="7"/>
      <x:c r="E24" s="7"/>
      <x:c r="F24" s="3" t="str">
        <x:f>IF(A24="","",IF(J24&lt;&gt;"OK","CHECK",IF(A24="E1",COUNTIFS(E1!$C$2:$C$201,B24,E1!$F$2:$F$201,"include",E1!$K$2:$K$201,"yes"),COUNTIFS(E2!$C$2:$C$201,B24,E2!$F$2:$F$201,"include",E2!$K$2:$K$201,"yes"))))</x:f>
      </x:c>
      <x:c r="G24" s="3" t="str">
        <x:f>IF(A24="","",IF(ISNUMBER(F24),MAX(0,E24-F24),"CHECK"))</x:f>
      </x:c>
      <x:c r="H24" s="3" t="str">
        <x:f>IF(A24="","",IF(J24&lt;&gt;"OK","CHECK",IF(A24="E1",COUNTIFS(E1!$C$2:$C$201,B24,E1!$F$2:$F$201,"&lt;&gt;duplicate",E1!$N$2:$N$201,"yes"),COUNTIFS(E2!$C$2:$C$201,B24,E2!$F$2:$F$201,"&lt;&gt;duplicate",E2!$N$2:$N$201,"yes"))))</x:f>
      </x:c>
      <x:c r="I24" s="3" t="str">
        <x:f>IF(A24="","",IF(ISNUMBER(H24),MAX(0,E24-H24),"CHECK"))</x:f>
      </x:c>
      <x:c r="J24" s="3" t="str">
        <x:f>IF(COUNTA(A24:E24)=0,"",IFERROR(IF(AND(OR(A24="E1",A24="E2"),B24&lt;&gt;"",C24&lt;&gt;"",D24&lt;&gt;"",ISNUMBER(E24),E24&gt;=0,MOD(E24,1)=0,COUNTIFS($A$2:$A$31,A24,$B$2:$B$31,B24)=1),"OK","CHECK"),"CHECK"))</x:f>
      </x:c>
      <x:c r="K24" s="3"/>
      <x:c r="L24" s="3"/>
      <x:c r="M24" s="3"/>
      <x:c r="N24" s="3"/>
      <x:c r="O24" s="3"/>
      <x:c r="P24" s="3"/>
      <x:c r="Q24" s="3"/>
      <x:c r="R24" s="3"/>
    </x:row>
    <x:row r="25" ht="22" customHeight="1">
      <x:c r="A25" s="7"/>
      <x:c r="B25" s="7"/>
      <x:c r="C25" s="7"/>
      <x:c r="D25" s="7"/>
      <x:c r="E25" s="7"/>
      <x:c r="F25" s="3" t="str">
        <x:f>IF(A25="","",IF(J25&lt;&gt;"OK","CHECK",IF(A25="E1",COUNTIFS(E1!$C$2:$C$201,B25,E1!$F$2:$F$201,"include",E1!$K$2:$K$201,"yes"),COUNTIFS(E2!$C$2:$C$201,B25,E2!$F$2:$F$201,"include",E2!$K$2:$K$201,"yes"))))</x:f>
      </x:c>
      <x:c r="G25" s="3" t="str">
        <x:f>IF(A25="","",IF(ISNUMBER(F25),MAX(0,E25-F25),"CHECK"))</x:f>
      </x:c>
      <x:c r="H25" s="3" t="str">
        <x:f>IF(A25="","",IF(J25&lt;&gt;"OK","CHECK",IF(A25="E1",COUNTIFS(E1!$C$2:$C$201,B25,E1!$F$2:$F$201,"&lt;&gt;duplicate",E1!$N$2:$N$201,"yes"),COUNTIFS(E2!$C$2:$C$201,B25,E2!$F$2:$F$201,"&lt;&gt;duplicate",E2!$N$2:$N$201,"yes"))))</x:f>
      </x:c>
      <x:c r="I25" s="3" t="str">
        <x:f>IF(A25="","",IF(ISNUMBER(H25),MAX(0,E25-H25),"CHECK"))</x:f>
      </x:c>
      <x:c r="J25" s="3" t="str">
        <x:f>IF(COUNTA(A25:E25)=0,"",IFERROR(IF(AND(OR(A25="E1",A25="E2"),B25&lt;&gt;"",C25&lt;&gt;"",D25&lt;&gt;"",ISNUMBER(E25),E25&gt;=0,MOD(E25,1)=0,COUNTIFS($A$2:$A$31,A25,$B$2:$B$31,B25)=1),"OK","CHECK"),"CHECK"))</x:f>
      </x:c>
      <x:c r="K25" s="3"/>
      <x:c r="L25" s="3"/>
      <x:c r="M25" s="3"/>
      <x:c r="N25" s="3"/>
      <x:c r="O25" s="3"/>
      <x:c r="P25" s="3"/>
      <x:c r="Q25" s="3"/>
      <x:c r="R25" s="3"/>
    </x:row>
    <x:row r="26" ht="22" customHeight="1">
      <x:c r="A26" s="7"/>
      <x:c r="B26" s="7"/>
      <x:c r="C26" s="7"/>
      <x:c r="D26" s="7"/>
      <x:c r="E26" s="7"/>
      <x:c r="F26" s="3" t="str">
        <x:f>IF(A26="","",IF(J26&lt;&gt;"OK","CHECK",IF(A26="E1",COUNTIFS(E1!$C$2:$C$201,B26,E1!$F$2:$F$201,"include",E1!$K$2:$K$201,"yes"),COUNTIFS(E2!$C$2:$C$201,B26,E2!$F$2:$F$201,"include",E2!$K$2:$K$201,"yes"))))</x:f>
      </x:c>
      <x:c r="G26" s="3" t="str">
        <x:f>IF(A26="","",IF(ISNUMBER(F26),MAX(0,E26-F26),"CHECK"))</x:f>
      </x:c>
      <x:c r="H26" s="3" t="str">
        <x:f>IF(A26="","",IF(J26&lt;&gt;"OK","CHECK",IF(A26="E1",COUNTIFS(E1!$C$2:$C$201,B26,E1!$F$2:$F$201,"&lt;&gt;duplicate",E1!$N$2:$N$201,"yes"),COUNTIFS(E2!$C$2:$C$201,B26,E2!$F$2:$F$201,"&lt;&gt;duplicate",E2!$N$2:$N$201,"yes"))))</x:f>
      </x:c>
      <x:c r="I26" s="3" t="str">
        <x:f>IF(A26="","",IF(ISNUMBER(H26),MAX(0,E26-H26),"CHECK"))</x:f>
      </x:c>
      <x:c r="J26" s="3" t="str">
        <x:f>IF(COUNTA(A26:E26)=0,"",IFERROR(IF(AND(OR(A26="E1",A26="E2"),B26&lt;&gt;"",C26&lt;&gt;"",D26&lt;&gt;"",ISNUMBER(E26),E26&gt;=0,MOD(E26,1)=0,COUNTIFS($A$2:$A$31,A26,$B$2:$B$31,B26)=1),"OK","CHECK"),"CHECK"))</x:f>
      </x:c>
      <x:c r="K26" s="3"/>
      <x:c r="L26" s="3"/>
      <x:c r="M26" s="3"/>
      <x:c r="N26" s="3"/>
      <x:c r="O26" s="3"/>
      <x:c r="P26" s="3"/>
      <x:c r="Q26" s="3"/>
      <x:c r="R26" s="3"/>
    </x:row>
    <x:row r="27" ht="22" customHeight="1">
      <x:c r="A27" s="7"/>
      <x:c r="B27" s="7"/>
      <x:c r="C27" s="7"/>
      <x:c r="D27" s="7"/>
      <x:c r="E27" s="7"/>
      <x:c r="F27" s="3" t="str">
        <x:f>IF(A27="","",IF(J27&lt;&gt;"OK","CHECK",IF(A27="E1",COUNTIFS(E1!$C$2:$C$201,B27,E1!$F$2:$F$201,"include",E1!$K$2:$K$201,"yes"),COUNTIFS(E2!$C$2:$C$201,B27,E2!$F$2:$F$201,"include",E2!$K$2:$K$201,"yes"))))</x:f>
      </x:c>
      <x:c r="G27" s="3" t="str">
        <x:f>IF(A27="","",IF(ISNUMBER(F27),MAX(0,E27-F27),"CHECK"))</x:f>
      </x:c>
      <x:c r="H27" s="3" t="str">
        <x:f>IF(A27="","",IF(J27&lt;&gt;"OK","CHECK",IF(A27="E1",COUNTIFS(E1!$C$2:$C$201,B27,E1!$F$2:$F$201,"&lt;&gt;duplicate",E1!$N$2:$N$201,"yes"),COUNTIFS(E2!$C$2:$C$201,B27,E2!$F$2:$F$201,"&lt;&gt;duplicate",E2!$N$2:$N$201,"yes"))))</x:f>
      </x:c>
      <x:c r="I27" s="3" t="str">
        <x:f>IF(A27="","",IF(ISNUMBER(H27),MAX(0,E27-H27),"CHECK"))</x:f>
      </x:c>
      <x:c r="J27" s="3" t="str">
        <x:f>IF(COUNTA(A27:E27)=0,"",IFERROR(IF(AND(OR(A27="E1",A27="E2"),B27&lt;&gt;"",C27&lt;&gt;"",D27&lt;&gt;"",ISNUMBER(E27),E27&gt;=0,MOD(E27,1)=0,COUNTIFS($A$2:$A$31,A27,$B$2:$B$31,B27)=1),"OK","CHECK"),"CHECK"))</x:f>
      </x:c>
      <x:c r="K27" s="3"/>
      <x:c r="L27" s="3"/>
      <x:c r="M27" s="3"/>
      <x:c r="N27" s="3"/>
      <x:c r="O27" s="3"/>
      <x:c r="P27" s="3"/>
      <x:c r="Q27" s="3"/>
      <x:c r="R27" s="3"/>
    </x:row>
    <x:row r="28" ht="22" customHeight="1">
      <x:c r="A28" s="7"/>
      <x:c r="B28" s="7"/>
      <x:c r="C28" s="7"/>
      <x:c r="D28" s="7"/>
      <x:c r="E28" s="7"/>
      <x:c r="F28" s="3" t="str">
        <x:f>IF(A28="","",IF(J28&lt;&gt;"OK","CHECK",IF(A28="E1",COUNTIFS(E1!$C$2:$C$201,B28,E1!$F$2:$F$201,"include",E1!$K$2:$K$201,"yes"),COUNTIFS(E2!$C$2:$C$201,B28,E2!$F$2:$F$201,"include",E2!$K$2:$K$201,"yes"))))</x:f>
      </x:c>
      <x:c r="G28" s="3" t="str">
        <x:f>IF(A28="","",IF(ISNUMBER(F28),MAX(0,E28-F28),"CHECK"))</x:f>
      </x:c>
      <x:c r="H28" s="3" t="str">
        <x:f>IF(A28="","",IF(J28&lt;&gt;"OK","CHECK",IF(A28="E1",COUNTIFS(E1!$C$2:$C$201,B28,E1!$F$2:$F$201,"&lt;&gt;duplicate",E1!$N$2:$N$201,"yes"),COUNTIFS(E2!$C$2:$C$201,B28,E2!$F$2:$F$201,"&lt;&gt;duplicate",E2!$N$2:$N$201,"yes"))))</x:f>
      </x:c>
      <x:c r="I28" s="3" t="str">
        <x:f>IF(A28="","",IF(ISNUMBER(H28),MAX(0,E28-H28),"CHECK"))</x:f>
      </x:c>
      <x:c r="J28" s="3" t="str">
        <x:f>IF(COUNTA(A28:E28)=0,"",IFERROR(IF(AND(OR(A28="E1",A28="E2"),B28&lt;&gt;"",C28&lt;&gt;"",D28&lt;&gt;"",ISNUMBER(E28),E28&gt;=0,MOD(E28,1)=0,COUNTIFS($A$2:$A$31,A28,$B$2:$B$31,B28)=1),"OK","CHECK"),"CHECK"))</x:f>
      </x:c>
      <x:c r="K28" s="3"/>
      <x:c r="L28" s="3"/>
      <x:c r="M28" s="3"/>
      <x:c r="N28" s="3"/>
      <x:c r="O28" s="3"/>
      <x:c r="P28" s="3"/>
      <x:c r="Q28" s="3"/>
      <x:c r="R28" s="3"/>
    </x:row>
    <x:row r="29" ht="22" customHeight="1">
      <x:c r="A29" s="7"/>
      <x:c r="B29" s="7"/>
      <x:c r="C29" s="7"/>
      <x:c r="D29" s="7"/>
      <x:c r="E29" s="7"/>
      <x:c r="F29" s="3" t="str">
        <x:f>IF(A29="","",IF(J29&lt;&gt;"OK","CHECK",IF(A29="E1",COUNTIFS(E1!$C$2:$C$201,B29,E1!$F$2:$F$201,"include",E1!$K$2:$K$201,"yes"),COUNTIFS(E2!$C$2:$C$201,B29,E2!$F$2:$F$201,"include",E2!$K$2:$K$201,"yes"))))</x:f>
      </x:c>
      <x:c r="G29" s="3" t="str">
        <x:f>IF(A29="","",IF(ISNUMBER(F29),MAX(0,E29-F29),"CHECK"))</x:f>
      </x:c>
      <x:c r="H29" s="3" t="str">
        <x:f>IF(A29="","",IF(J29&lt;&gt;"OK","CHECK",IF(A29="E1",COUNTIFS(E1!$C$2:$C$201,B29,E1!$F$2:$F$201,"&lt;&gt;duplicate",E1!$N$2:$N$201,"yes"),COUNTIFS(E2!$C$2:$C$201,B29,E2!$F$2:$F$201,"&lt;&gt;duplicate",E2!$N$2:$N$201,"yes"))))</x:f>
      </x:c>
      <x:c r="I29" s="3" t="str">
        <x:f>IF(A29="","",IF(ISNUMBER(H29),MAX(0,E29-H29),"CHECK"))</x:f>
      </x:c>
      <x:c r="J29" s="3" t="str">
        <x:f>IF(COUNTA(A29:E29)=0,"",IFERROR(IF(AND(OR(A29="E1",A29="E2"),B29&lt;&gt;"",C29&lt;&gt;"",D29&lt;&gt;"",ISNUMBER(E29),E29&gt;=0,MOD(E29,1)=0,COUNTIFS($A$2:$A$31,A29,$B$2:$B$31,B29)=1),"OK","CHECK"),"CHECK"))</x:f>
      </x:c>
      <x:c r="K29" s="3"/>
      <x:c r="L29" s="3"/>
      <x:c r="M29" s="3"/>
      <x:c r="N29" s="3"/>
      <x:c r="O29" s="3"/>
      <x:c r="P29" s="3"/>
      <x:c r="Q29" s="3"/>
      <x:c r="R29" s="3"/>
    </x:row>
    <x:row r="30" ht="22" customHeight="1">
      <x:c r="A30" s="7"/>
      <x:c r="B30" s="7"/>
      <x:c r="C30" s="7"/>
      <x:c r="D30" s="7"/>
      <x:c r="E30" s="7"/>
      <x:c r="F30" s="3" t="str">
        <x:f>IF(A30="","",IF(J30&lt;&gt;"OK","CHECK",IF(A30="E1",COUNTIFS(E1!$C$2:$C$201,B30,E1!$F$2:$F$201,"include",E1!$K$2:$K$201,"yes"),COUNTIFS(E2!$C$2:$C$201,B30,E2!$F$2:$F$201,"include",E2!$K$2:$K$201,"yes"))))</x:f>
      </x:c>
      <x:c r="G30" s="3" t="str">
        <x:f>IF(A30="","",IF(ISNUMBER(F30),MAX(0,E30-F30),"CHECK"))</x:f>
      </x:c>
      <x:c r="H30" s="3" t="str">
        <x:f>IF(A30="","",IF(J30&lt;&gt;"OK","CHECK",IF(A30="E1",COUNTIFS(E1!$C$2:$C$201,B30,E1!$F$2:$F$201,"&lt;&gt;duplicate",E1!$N$2:$N$201,"yes"),COUNTIFS(E2!$C$2:$C$201,B30,E2!$F$2:$F$201,"&lt;&gt;duplicate",E2!$N$2:$N$201,"yes"))))</x:f>
      </x:c>
      <x:c r="I30" s="3" t="str">
        <x:f>IF(A30="","",IF(ISNUMBER(H30),MAX(0,E30-H30),"CHECK"))</x:f>
      </x:c>
      <x:c r="J30" s="3" t="str">
        <x:f>IF(COUNTA(A30:E30)=0,"",IFERROR(IF(AND(OR(A30="E1",A30="E2"),B30&lt;&gt;"",C30&lt;&gt;"",D30&lt;&gt;"",ISNUMBER(E30),E30&gt;=0,MOD(E30,1)=0,COUNTIFS($A$2:$A$31,A30,$B$2:$B$31,B30)=1),"OK","CHECK"),"CHECK"))</x:f>
      </x:c>
      <x:c r="K30" s="3"/>
      <x:c r="L30" s="3"/>
      <x:c r="M30" s="3"/>
      <x:c r="N30" s="3"/>
      <x:c r="O30" s="3"/>
      <x:c r="P30" s="3"/>
      <x:c r="Q30" s="3"/>
      <x:c r="R30" s="3"/>
    </x:row>
    <x:row r="31" ht="22" customHeight="1">
      <x:c r="A31" s="7"/>
      <x:c r="B31" s="7"/>
      <x:c r="C31" s="7"/>
      <x:c r="D31" s="7"/>
      <x:c r="E31" s="7"/>
      <x:c r="F31" s="3" t="str">
        <x:f>IF(A31="","",IF(J31&lt;&gt;"OK","CHECK",IF(A31="E1",COUNTIFS(E1!$C$2:$C$201,B31,E1!$F$2:$F$201,"include",E1!$K$2:$K$201,"yes"),COUNTIFS(E2!$C$2:$C$201,B31,E2!$F$2:$F$201,"include",E2!$K$2:$K$201,"yes"))))</x:f>
      </x:c>
      <x:c r="G31" s="3" t="str">
        <x:f>IF(A31="","",IF(ISNUMBER(F31),MAX(0,E31-F31),"CHECK"))</x:f>
      </x:c>
      <x:c r="H31" s="3" t="str">
        <x:f>IF(A31="","",IF(J31&lt;&gt;"OK","CHECK",IF(A31="E1",COUNTIFS(E1!$C$2:$C$201,B31,E1!$F$2:$F$201,"&lt;&gt;duplicate",E1!$N$2:$N$201,"yes"),COUNTIFS(E2!$C$2:$C$201,B31,E2!$F$2:$F$201,"&lt;&gt;duplicate",E2!$N$2:$N$201,"yes"))))</x:f>
      </x:c>
      <x:c r="I31" s="3" t="str">
        <x:f>IF(A31="","",IF(ISNUMBER(H31),MAX(0,E31-H31),"CHECK"))</x:f>
      </x:c>
      <x:c r="J31" s="3" t="str">
        <x:f>IF(COUNTA(A31:E31)=0,"",IFERROR(IF(AND(OR(A31="E1",A31="E2"),B31&lt;&gt;"",C31&lt;&gt;"",D31&lt;&gt;"",ISNUMBER(E31),E31&gt;=0,MOD(E31,1)=0,COUNTIFS($A$2:$A$31,A31,$B$2:$B$31,B31)=1),"OK","CHECK"),"CHECK"))</x:f>
      </x:c>
      <x:c r="K31" s="3"/>
      <x:c r="L31" s="3"/>
      <x:c r="M31" s="3"/>
      <x:c r="N31" s="3"/>
      <x:c r="O31" s="3"/>
      <x:c r="P31" s="3"/>
      <x:c r="Q31" s="3"/>
      <x:c r="R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entry_id</x:v>
      </x:c>
      <x:c r="B1" s="6" t="str">
        <x:v>event_id</x:v>
      </x:c>
      <x:c r="C1" s="6" t="str">
        <x:v>organiser</x:v>
      </x:c>
      <x:c r="D1" s="6" t="str">
        <x:v>activity</x:v>
      </x:c>
      <x:c r="E1" s="6" t="str">
        <x:v>minutes</x:v>
      </x:c>
      <x:c r="F1" s="6" t="str">
        <x:v>input_check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7"/>
      <x:c r="B2" s="7"/>
      <x:c r="C2" s="7"/>
      <x:c r="D2" s="7"/>
      <x:c r="E2" s="7"/>
      <x:c r="F2" s="3" t="str">
        <x:f>IF(COUNTA(A2:E2)=0,"",IFERROR(IF(AND(A2&lt;&gt;"",COUNTIF($A$2:$A$101,A2)=1,OR(B2="E1",B2="E2"),OR(C2="primary",C2="second",C2="other"),OR(D2="chasing",D2="nudge",D2="reply_logging",D2="reconciliation",D2="setup",D2="handover"),ISNUMBER(E2),E2&gt;=0),"OK","CHECK"),"CHECK"))</x:f>
      </x:c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2" customHeight="1">
      <x:c r="A3" s="7"/>
      <x:c r="B3" s="7"/>
      <x:c r="C3" s="7"/>
      <x:c r="D3" s="7"/>
      <x:c r="E3" s="7"/>
      <x:c r="F3" s="3" t="str">
        <x:f>IF(COUNTA(A3:E3)=0,"",IFERROR(IF(AND(A3&lt;&gt;"",COUNTIF($A$2:$A$101,A3)=1,OR(B3="E1",B3="E2"),OR(C3="primary",C3="second",C3="other"),OR(D3="chasing",D3="nudge",D3="reply_logging",D3="reconciliation",D3="setup",D3="handover"),ISNUMBER(E3),E3&gt;=0),"OK","CHECK"),"CHECK"))</x:f>
      </x:c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7"/>
      <x:c r="B4" s="7"/>
      <x:c r="C4" s="7"/>
      <x:c r="D4" s="7"/>
      <x:c r="E4" s="7"/>
      <x:c r="F4" s="3" t="str">
        <x:f>IF(COUNTA(A4:E4)=0,"",IFERROR(IF(AND(A4&lt;&gt;"",COUNTIF($A$2:$A$101,A4)=1,OR(B4="E1",B4="E2"),OR(C4="primary",C4="second",C4="other"),OR(D4="chasing",D4="nudge",D4="reply_logging",D4="reconciliation",D4="setup",D4="handover"),ISNUMBER(E4),E4&gt;=0),"OK","CHECK"),"CHECK"))</x:f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2" customHeight="1">
      <x:c r="A5" s="7"/>
      <x:c r="B5" s="7"/>
      <x:c r="C5" s="7"/>
      <x:c r="D5" s="7"/>
      <x:c r="E5" s="7"/>
      <x:c r="F5" s="3" t="str">
        <x:f>IF(COUNTA(A5:E5)=0,"",IFERROR(IF(AND(A5&lt;&gt;"",COUNTIF($A$2:$A$101,A5)=1,OR(B5="E1",B5="E2"),OR(C5="primary",C5="second",C5="other"),OR(D5="chasing",D5="nudge",D5="reply_logging",D5="reconciliation",D5="setup",D5="handover"),ISNUMBER(E5),E5&gt;=0),"OK","CHECK"),"CHECK"))</x:f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2" customHeight="1">
      <x:c r="A6" s="7"/>
      <x:c r="B6" s="7"/>
      <x:c r="C6" s="7"/>
      <x:c r="D6" s="7"/>
      <x:c r="E6" s="7"/>
      <x:c r="F6" s="3" t="str">
        <x:f>IF(COUNTA(A6:E6)=0,"",IFERROR(IF(AND(A6&lt;&gt;"",COUNTIF($A$2:$A$101,A6)=1,OR(B6="E1",B6="E2"),OR(C6="primary",C6="second",C6="other"),OR(D6="chasing",D6="nudge",D6="reply_logging",D6="reconciliation",D6="setup",D6="handover"),ISNUMBER(E6),E6&gt;=0),"OK","CHECK"),"CHECK"))</x:f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22" customHeight="1">
      <x:c r="A7" s="7"/>
      <x:c r="B7" s="7"/>
      <x:c r="C7" s="7"/>
      <x:c r="D7" s="7"/>
      <x:c r="E7" s="7"/>
      <x:c r="F7" s="3" t="str">
        <x:f>IF(COUNTA(A7:E7)=0,"",IFERROR(IF(AND(A7&lt;&gt;"",COUNTIF($A$2:$A$101,A7)=1,OR(B7="E1",B7="E2"),OR(C7="primary",C7="second",C7="other"),OR(D7="chasing",D7="nudge",D7="reply_logging",D7="reconciliation",D7="setup",D7="handover"),ISNUMBER(E7),E7&gt;=0),"OK","CHECK"),"CHECK"))</x:f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ht="22" customHeight="1">
      <x:c r="A8" s="7"/>
      <x:c r="B8" s="7"/>
      <x:c r="C8" s="7"/>
      <x:c r="D8" s="7"/>
      <x:c r="E8" s="7"/>
      <x:c r="F8" s="3" t="str">
        <x:f>IF(COUNTA(A8:E8)=0,"",IFERROR(IF(AND(A8&lt;&gt;"",COUNTIF($A$2:$A$101,A8)=1,OR(B8="E1",B8="E2"),OR(C8="primary",C8="second",C8="other"),OR(D8="chasing",D8="nudge",D8="reply_logging",D8="reconciliation",D8="setup",D8="handover"),ISNUMBER(E8),E8&gt;=0),"OK","CHECK"),"CHECK"))</x:f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ht="22" customHeight="1">
      <x:c r="A9" s="7"/>
      <x:c r="B9" s="7"/>
      <x:c r="C9" s="7"/>
      <x:c r="D9" s="7"/>
      <x:c r="E9" s="7"/>
      <x:c r="F9" s="3" t="str">
        <x:f>IF(COUNTA(A9:E9)=0,"",IFERROR(IF(AND(A9&lt;&gt;"",COUNTIF($A$2:$A$101,A9)=1,OR(B9="E1",B9="E2"),OR(C9="primary",C9="second",C9="other"),OR(D9="chasing",D9="nudge",D9="reply_logging",D9="reconciliation",D9="setup",D9="handover"),ISNUMBER(E9),E9&gt;=0),"OK","CHECK"),"CHECK"))</x:f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22" customHeight="1">
      <x:c r="A10" s="7"/>
      <x:c r="B10" s="7"/>
      <x:c r="C10" s="7"/>
      <x:c r="D10" s="7"/>
      <x:c r="E10" s="7"/>
      <x:c r="F10" s="3" t="str">
        <x:f>IF(COUNTA(A10:E10)=0,"",IFERROR(IF(AND(A10&lt;&gt;"",COUNTIF($A$2:$A$101,A10)=1,OR(B10="E1",B10="E2"),OR(C10="primary",C10="second",C10="other"),OR(D10="chasing",D10="nudge",D10="reply_logging",D10="reconciliation",D10="setup",D10="handover"),ISNUMBER(E10),E10&gt;=0),"OK","CHECK"),"CHECK"))</x:f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22" customHeight="1">
      <x:c r="A11" s="7"/>
      <x:c r="B11" s="7"/>
      <x:c r="C11" s="7"/>
      <x:c r="D11" s="7"/>
      <x:c r="E11" s="7"/>
      <x:c r="F11" s="3" t="str">
        <x:f>IF(COUNTA(A11:E11)=0,"",IFERROR(IF(AND(A11&lt;&gt;"",COUNTIF($A$2:$A$101,A11)=1,OR(B11="E1",B11="E2"),OR(C11="primary",C11="second",C11="other"),OR(D11="chasing",D11="nudge",D11="reply_logging",D11="reconciliation",D11="setup",D11="handover"),ISNUMBER(E11),E11&gt;=0),"OK","CHECK"),"CHECK"))</x:f>
      </x:c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22" customHeight="1">
      <x:c r="A12" s="7"/>
      <x:c r="B12" s="7"/>
      <x:c r="C12" s="7"/>
      <x:c r="D12" s="7"/>
      <x:c r="E12" s="7"/>
      <x:c r="F12" s="3" t="str">
        <x:f>IF(COUNTA(A12:E12)=0,"",IFERROR(IF(AND(A12&lt;&gt;"",COUNTIF($A$2:$A$101,A12)=1,OR(B12="E1",B12="E2"),OR(C12="primary",C12="second",C12="other"),OR(D12="chasing",D12="nudge",D12="reply_logging",D12="reconciliation",D12="setup",D12="handover"),ISNUMBER(E12),E12&gt;=0),"OK","CHECK"),"CHECK"))</x:f>
      </x:c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22" customHeight="1">
      <x:c r="A13" s="7"/>
      <x:c r="B13" s="7"/>
      <x:c r="C13" s="7"/>
      <x:c r="D13" s="7"/>
      <x:c r="E13" s="7"/>
      <x:c r="F13" s="3" t="str">
        <x:f>IF(COUNTA(A13:E13)=0,"",IFERROR(IF(AND(A13&lt;&gt;"",COUNTIF($A$2:$A$101,A13)=1,OR(B13="E1",B13="E2"),OR(C13="primary",C13="second",C13="other"),OR(D13="chasing",D13="nudge",D13="reply_logging",D13="reconciliation",D13="setup",D13="handover"),ISNUMBER(E13),E13&gt;=0),"OK","CHECK"),"CHECK"))</x:f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22" customHeight="1">
      <x:c r="A14" s="7"/>
      <x:c r="B14" s="7"/>
      <x:c r="C14" s="7"/>
      <x:c r="D14" s="7"/>
      <x:c r="E14" s="7"/>
      <x:c r="F14" s="3" t="str">
        <x:f>IF(COUNTA(A14:E14)=0,"",IFERROR(IF(AND(A14&lt;&gt;"",COUNTIF($A$2:$A$101,A14)=1,OR(B14="E1",B14="E2"),OR(C14="primary",C14="second",C14="other"),OR(D14="chasing",D14="nudge",D14="reply_logging",D14="reconciliation",D14="setup",D14="handover"),ISNUMBER(E14),E14&gt;=0),"OK","CHECK"),"CHECK"))</x:f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22" customHeight="1">
      <x:c r="A15" s="7"/>
      <x:c r="B15" s="7"/>
      <x:c r="C15" s="7"/>
      <x:c r="D15" s="7"/>
      <x:c r="E15" s="7"/>
      <x:c r="F15" s="3" t="str">
        <x:f>IF(COUNTA(A15:E15)=0,"",IFERROR(IF(AND(A15&lt;&gt;"",COUNTIF($A$2:$A$101,A15)=1,OR(B15="E1",B15="E2"),OR(C15="primary",C15="second",C15="other"),OR(D15="chasing",D15="nudge",D15="reply_logging",D15="reconciliation",D15="setup",D15="handover"),ISNUMBER(E15),E15&gt;=0),"OK","CHECK"),"CHECK"))</x:f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2" customHeight="1">
      <x:c r="A16" s="7"/>
      <x:c r="B16" s="7"/>
      <x:c r="C16" s="7"/>
      <x:c r="D16" s="7"/>
      <x:c r="E16" s="7"/>
      <x:c r="F16" s="3" t="str">
        <x:f>IF(COUNTA(A16:E16)=0,"",IFERROR(IF(AND(A16&lt;&gt;"",COUNTIF($A$2:$A$101,A16)=1,OR(B16="E1",B16="E2"),OR(C16="primary",C16="second",C16="other"),OR(D16="chasing",D16="nudge",D16="reply_logging",D16="reconciliation",D16="setup",D16="handover"),ISNUMBER(E16),E16&gt;=0),"OK","CHECK"),"CHECK"))</x:f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22" customHeight="1">
      <x:c r="A17" s="7"/>
      <x:c r="B17" s="7"/>
      <x:c r="C17" s="7"/>
      <x:c r="D17" s="7"/>
      <x:c r="E17" s="7"/>
      <x:c r="F17" s="3" t="str">
        <x:f>IF(COUNTA(A17:E17)=0,"",IFERROR(IF(AND(A17&lt;&gt;"",COUNTIF($A$2:$A$101,A17)=1,OR(B17="E1",B17="E2"),OR(C17="primary",C17="second",C17="other"),OR(D17="chasing",D17="nudge",D17="reply_logging",D17="reconciliation",D17="setup",D17="handover"),ISNUMBER(E17),E17&gt;=0),"OK","CHECK"),"CHECK"))</x:f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22" customHeight="1">
      <x:c r="A18" s="7"/>
      <x:c r="B18" s="7"/>
      <x:c r="C18" s="7"/>
      <x:c r="D18" s="7"/>
      <x:c r="E18" s="7"/>
      <x:c r="F18" s="3" t="str">
        <x:f>IF(COUNTA(A18:E18)=0,"",IFERROR(IF(AND(A18&lt;&gt;"",COUNTIF($A$2:$A$101,A18)=1,OR(B18="E1",B18="E2"),OR(C18="primary",C18="second",C18="other"),OR(D18="chasing",D18="nudge",D18="reply_logging",D18="reconciliation",D18="setup",D18="handover"),ISNUMBER(E18),E18&gt;=0),"OK","CHECK"),"CHECK"))</x:f>
      </x:c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2" customHeight="1">
      <x:c r="A19" s="7"/>
      <x:c r="B19" s="7"/>
      <x:c r="C19" s="7"/>
      <x:c r="D19" s="7"/>
      <x:c r="E19" s="7"/>
      <x:c r="F19" s="3" t="str">
        <x:f>IF(COUNTA(A19:E19)=0,"",IFERROR(IF(AND(A19&lt;&gt;"",COUNTIF($A$2:$A$101,A19)=1,OR(B19="E1",B19="E2"),OR(C19="primary",C19="second",C19="other"),OR(D19="chasing",D19="nudge",D19="reply_logging",D19="reconciliation",D19="setup",D19="handover"),ISNUMBER(E19),E19&gt;=0),"OK","CHECK"),"CHECK"))</x:f>
      </x:c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2" customHeight="1">
      <x:c r="A20" s="7"/>
      <x:c r="B20" s="7"/>
      <x:c r="C20" s="7"/>
      <x:c r="D20" s="7"/>
      <x:c r="E20" s="7"/>
      <x:c r="F20" s="3" t="str">
        <x:f>IF(COUNTA(A20:E20)=0,"",IFERROR(IF(AND(A20&lt;&gt;"",COUNTIF($A$2:$A$101,A20)=1,OR(B20="E1",B20="E2"),OR(C20="primary",C20="second",C20="other"),OR(D20="chasing",D20="nudge",D20="reply_logging",D20="reconciliation",D20="setup",D20="handover"),ISNUMBER(E20),E20&gt;=0),"OK","CHECK"),"CHECK"))</x:f>
      </x:c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2" customHeight="1">
      <x:c r="A21" s="7"/>
      <x:c r="B21" s="7"/>
      <x:c r="C21" s="7"/>
      <x:c r="D21" s="7"/>
      <x:c r="E21" s="7"/>
      <x:c r="F21" s="3" t="str">
        <x:f>IF(COUNTA(A21:E21)=0,"",IFERROR(IF(AND(A21&lt;&gt;"",COUNTIF($A$2:$A$101,A21)=1,OR(B21="E1",B21="E2"),OR(C21="primary",C21="second",C21="other"),OR(D21="chasing",D21="nudge",D21="reply_logging",D21="reconciliation",D21="setup",D21="handover"),ISNUMBER(E21),E21&gt;=0),"OK","CHECK"),"CHECK"))</x:f>
      </x:c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2" customHeight="1">
      <x:c r="A22" s="7"/>
      <x:c r="B22" s="7"/>
      <x:c r="C22" s="7"/>
      <x:c r="D22" s="7"/>
      <x:c r="E22" s="7"/>
      <x:c r="F22" s="3" t="str">
        <x:f>IF(COUNTA(A22:E22)=0,"",IFERROR(IF(AND(A22&lt;&gt;"",COUNTIF($A$2:$A$101,A22)=1,OR(B22="E1",B22="E2"),OR(C22="primary",C22="second",C22="other"),OR(D22="chasing",D22="nudge",D22="reply_logging",D22="reconciliation",D22="setup",D22="handover"),ISNUMBER(E22),E22&gt;=0),"OK","CHECK"),"CHECK"))</x:f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2" customHeight="1">
      <x:c r="A23" s="7"/>
      <x:c r="B23" s="7"/>
      <x:c r="C23" s="7"/>
      <x:c r="D23" s="7"/>
      <x:c r="E23" s="7"/>
      <x:c r="F23" s="3" t="str">
        <x:f>IF(COUNTA(A23:E23)=0,"",IFERROR(IF(AND(A23&lt;&gt;"",COUNTIF($A$2:$A$101,A23)=1,OR(B23="E1",B23="E2"),OR(C23="primary",C23="second",C23="other"),OR(D23="chasing",D23="nudge",D23="reply_logging",D23="reconciliation",D23="setup",D23="handover"),ISNUMBER(E23),E23&gt;=0),"OK","CHECK"),"CHECK"))</x:f>
      </x:c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2" customHeight="1">
      <x:c r="A24" s="7"/>
      <x:c r="B24" s="7"/>
      <x:c r="C24" s="7"/>
      <x:c r="D24" s="7"/>
      <x:c r="E24" s="7"/>
      <x:c r="F24" s="3" t="str">
        <x:f>IF(COUNTA(A24:E24)=0,"",IFERROR(IF(AND(A24&lt;&gt;"",COUNTIF($A$2:$A$101,A24)=1,OR(B24="E1",B24="E2"),OR(C24="primary",C24="second",C24="other"),OR(D24="chasing",D24="nudge",D24="reply_logging",D24="reconciliation",D24="setup",D24="handover"),ISNUMBER(E24),E24&gt;=0),"OK","CHECK"),"CHECK"))</x:f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2" customHeight="1">
      <x:c r="A25" s="7"/>
      <x:c r="B25" s="7"/>
      <x:c r="C25" s="7"/>
      <x:c r="D25" s="7"/>
      <x:c r="E25" s="7"/>
      <x:c r="F25" s="3" t="str">
        <x:f>IF(COUNTA(A25:E25)=0,"",IFERROR(IF(AND(A25&lt;&gt;"",COUNTIF($A$2:$A$101,A25)=1,OR(B25="E1",B25="E2"),OR(C25="primary",C25="second",C25="other"),OR(D25="chasing",D25="nudge",D25="reply_logging",D25="reconciliation",D25="setup",D25="handover"),ISNUMBER(E25),E25&gt;=0),"OK","CHECK"),"CHECK"))</x:f>
      </x:c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2" customHeight="1">
      <x:c r="A26" s="7"/>
      <x:c r="B26" s="7"/>
      <x:c r="C26" s="7"/>
      <x:c r="D26" s="7"/>
      <x:c r="E26" s="7"/>
      <x:c r="F26" s="3" t="str">
        <x:f>IF(COUNTA(A26:E26)=0,"",IFERROR(IF(AND(A26&lt;&gt;"",COUNTIF($A$2:$A$101,A26)=1,OR(B26="E1",B26="E2"),OR(C26="primary",C26="second",C26="other"),OR(D26="chasing",D26="nudge",D26="reply_logging",D26="reconciliation",D26="setup",D26="handover"),ISNUMBER(E26),E26&gt;=0),"OK","CHECK"),"CHECK"))</x:f>
      </x:c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2" customHeight="1">
      <x:c r="A27" s="7"/>
      <x:c r="B27" s="7"/>
      <x:c r="C27" s="7"/>
      <x:c r="D27" s="7"/>
      <x:c r="E27" s="7"/>
      <x:c r="F27" s="3" t="str">
        <x:f>IF(COUNTA(A27:E27)=0,"",IFERROR(IF(AND(A27&lt;&gt;"",COUNTIF($A$2:$A$101,A27)=1,OR(B27="E1",B27="E2"),OR(C27="primary",C27="second",C27="other"),OR(D27="chasing",D27="nudge",D27="reply_logging",D27="reconciliation",D27="setup",D27="handover"),ISNUMBER(E27),E27&gt;=0),"OK","CHECK"),"CHECK"))</x:f>
      </x:c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2" customHeight="1">
      <x:c r="A28" s="7"/>
      <x:c r="B28" s="7"/>
      <x:c r="C28" s="7"/>
      <x:c r="D28" s="7"/>
      <x:c r="E28" s="7"/>
      <x:c r="F28" s="3" t="str">
        <x:f>IF(COUNTA(A28:E28)=0,"",IFERROR(IF(AND(A28&lt;&gt;"",COUNTIF($A$2:$A$101,A28)=1,OR(B28="E1",B28="E2"),OR(C28="primary",C28="second",C28="other"),OR(D28="chasing",D28="nudge",D28="reply_logging",D28="reconciliation",D28="setup",D28="handover"),ISNUMBER(E28),E28&gt;=0),"OK","CHECK"),"CHECK"))</x:f>
      </x:c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2" customHeight="1">
      <x:c r="A29" s="7"/>
      <x:c r="B29" s="7"/>
      <x:c r="C29" s="7"/>
      <x:c r="D29" s="7"/>
      <x:c r="E29" s="7"/>
      <x:c r="F29" s="3" t="str">
        <x:f>IF(COUNTA(A29:E29)=0,"",IFERROR(IF(AND(A29&lt;&gt;"",COUNTIF($A$2:$A$101,A29)=1,OR(B29="E1",B29="E2"),OR(C29="primary",C29="second",C29="other"),OR(D29="chasing",D29="nudge",D29="reply_logging",D29="reconciliation",D29="setup",D29="handover"),ISNUMBER(E29),E29&gt;=0),"OK","CHECK"),"CHECK"))</x:f>
      </x:c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2" customHeight="1">
      <x:c r="A30" s="7"/>
      <x:c r="B30" s="7"/>
      <x:c r="C30" s="7"/>
      <x:c r="D30" s="7"/>
      <x:c r="E30" s="7"/>
      <x:c r="F30" s="3" t="str">
        <x:f>IF(COUNTA(A30:E30)=0,"",IFERROR(IF(AND(A30&lt;&gt;"",COUNTIF($A$2:$A$101,A30)=1,OR(B30="E1",B30="E2"),OR(C30="primary",C30="second",C30="other"),OR(D30="chasing",D30="nudge",D30="reply_logging",D30="reconciliation",D30="setup",D30="handover"),ISNUMBER(E30),E30&gt;=0),"OK","CHECK"),"CHECK"))</x:f>
      </x:c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2" customHeight="1">
      <x:c r="A31" s="7"/>
      <x:c r="B31" s="7"/>
      <x:c r="C31" s="7"/>
      <x:c r="D31" s="7"/>
      <x:c r="E31" s="7"/>
      <x:c r="F31" s="3" t="str">
        <x:f>IF(COUNTA(A31:E31)=0,"",IFERROR(IF(AND(A31&lt;&gt;"",COUNTIF($A$2:$A$101,A31)=1,OR(B31="E1",B31="E2"),OR(C31="primary",C31="second",C31="other"),OR(D31="chasing",D31="nudge",D31="reply_logging",D31="reconciliation",D31="setup",D31="handover"),ISNUMBER(E31),E31&gt;=0),"OK","CHECK"),"CHECK"))</x:f>
      </x:c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2" customHeight="1">
      <x:c r="A32" s="7"/>
      <x:c r="B32" s="7"/>
      <x:c r="C32" s="7"/>
      <x:c r="D32" s="7"/>
      <x:c r="E32" s="7"/>
      <x:c r="F32" s="3" t="str">
        <x:f>IF(COUNTA(A32:E32)=0,"",IFERROR(IF(AND(A32&lt;&gt;"",COUNTIF($A$2:$A$101,A32)=1,OR(B32="E1",B32="E2"),OR(C32="primary",C32="second",C32="other"),OR(D32="chasing",D32="nudge",D32="reply_logging",D32="reconciliation",D32="setup",D32="handover"),ISNUMBER(E32),E32&gt;=0),"OK","CHECK"),"CHECK"))</x:f>
      </x:c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2" customHeight="1">
      <x:c r="A33" s="7"/>
      <x:c r="B33" s="7"/>
      <x:c r="C33" s="7"/>
      <x:c r="D33" s="7"/>
      <x:c r="E33" s="7"/>
      <x:c r="F33" s="3" t="str">
        <x:f>IF(COUNTA(A33:E33)=0,"",IFERROR(IF(AND(A33&lt;&gt;"",COUNTIF($A$2:$A$101,A33)=1,OR(B33="E1",B33="E2"),OR(C33="primary",C33="second",C33="other"),OR(D33="chasing",D33="nudge",D33="reply_logging",D33="reconciliation",D33="setup",D33="handover"),ISNUMBER(E33),E33&gt;=0),"OK","CHECK"),"CHECK"))</x:f>
      </x:c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2" customHeight="1">
      <x:c r="A34" s="7"/>
      <x:c r="B34" s="7"/>
      <x:c r="C34" s="7"/>
      <x:c r="D34" s="7"/>
      <x:c r="E34" s="7"/>
      <x:c r="F34" s="3" t="str">
        <x:f>IF(COUNTA(A34:E34)=0,"",IFERROR(IF(AND(A34&lt;&gt;"",COUNTIF($A$2:$A$101,A34)=1,OR(B34="E1",B34="E2"),OR(C34="primary",C34="second",C34="other"),OR(D34="chasing",D34="nudge",D34="reply_logging",D34="reconciliation",D34="setup",D34="handover"),ISNUMBER(E34),E34&gt;=0),"OK","CHECK"),"CHECK"))</x:f>
      </x:c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2" customHeight="1">
      <x:c r="A35" s="7"/>
      <x:c r="B35" s="7"/>
      <x:c r="C35" s="7"/>
      <x:c r="D35" s="7"/>
      <x:c r="E35" s="7"/>
      <x:c r="F35" s="3" t="str">
        <x:f>IF(COUNTA(A35:E35)=0,"",IFERROR(IF(AND(A35&lt;&gt;"",COUNTIF($A$2:$A$101,A35)=1,OR(B35="E1",B35="E2"),OR(C35="primary",C35="second",C35="other"),OR(D35="chasing",D35="nudge",D35="reply_logging",D35="reconciliation",D35="setup",D35="handover"),ISNUMBER(E35),E35&gt;=0),"OK","CHECK"),"CHECK"))</x:f>
      </x:c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2" customHeight="1">
      <x:c r="A36" s="7"/>
      <x:c r="B36" s="7"/>
      <x:c r="C36" s="7"/>
      <x:c r="D36" s="7"/>
      <x:c r="E36" s="7"/>
      <x:c r="F36" s="3" t="str">
        <x:f>IF(COUNTA(A36:E36)=0,"",IFERROR(IF(AND(A36&lt;&gt;"",COUNTIF($A$2:$A$101,A36)=1,OR(B36="E1",B36="E2"),OR(C36="primary",C36="second",C36="other"),OR(D36="chasing",D36="nudge",D36="reply_logging",D36="reconciliation",D36="setup",D36="handover"),ISNUMBER(E36),E36&gt;=0),"OK","CHECK"),"CHECK"))</x:f>
      </x:c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2" customHeight="1">
      <x:c r="A37" s="7"/>
      <x:c r="B37" s="7"/>
      <x:c r="C37" s="7"/>
      <x:c r="D37" s="7"/>
      <x:c r="E37" s="7"/>
      <x:c r="F37" s="3" t="str">
        <x:f>IF(COUNTA(A37:E37)=0,"",IFERROR(IF(AND(A37&lt;&gt;"",COUNTIF($A$2:$A$101,A37)=1,OR(B37="E1",B37="E2"),OR(C37="primary",C37="second",C37="other"),OR(D37="chasing",D37="nudge",D37="reply_logging",D37="reconciliation",D37="setup",D37="handover"),ISNUMBER(E37),E37&gt;=0),"OK","CHECK"),"CHECK"))</x:f>
      </x:c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2" customHeight="1">
      <x:c r="A38" s="7"/>
      <x:c r="B38" s="7"/>
      <x:c r="C38" s="7"/>
      <x:c r="D38" s="7"/>
      <x:c r="E38" s="7"/>
      <x:c r="F38" s="3" t="str">
        <x:f>IF(COUNTA(A38:E38)=0,"",IFERROR(IF(AND(A38&lt;&gt;"",COUNTIF($A$2:$A$101,A38)=1,OR(B38="E1",B38="E2"),OR(C38="primary",C38="second",C38="other"),OR(D38="chasing",D38="nudge",D38="reply_logging",D38="reconciliation",D38="setup",D38="handover"),ISNUMBER(E38),E38&gt;=0),"OK","CHECK"),"CHECK"))</x:f>
      </x:c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2" customHeight="1">
      <x:c r="A39" s="7"/>
      <x:c r="B39" s="7"/>
      <x:c r="C39" s="7"/>
      <x:c r="D39" s="7"/>
      <x:c r="E39" s="7"/>
      <x:c r="F39" s="3" t="str">
        <x:f>IF(COUNTA(A39:E39)=0,"",IFERROR(IF(AND(A39&lt;&gt;"",COUNTIF($A$2:$A$101,A39)=1,OR(B39="E1",B39="E2"),OR(C39="primary",C39="second",C39="other"),OR(D39="chasing",D39="nudge",D39="reply_logging",D39="reconciliation",D39="setup",D39="handover"),ISNUMBER(E39),E39&gt;=0),"OK","CHECK"),"CHECK"))</x:f>
      </x:c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2" customHeight="1">
      <x:c r="A40" s="7"/>
      <x:c r="B40" s="7"/>
      <x:c r="C40" s="7"/>
      <x:c r="D40" s="7"/>
      <x:c r="E40" s="7"/>
      <x:c r="F40" s="3" t="str">
        <x:f>IF(COUNTA(A40:E40)=0,"",IFERROR(IF(AND(A40&lt;&gt;"",COUNTIF($A$2:$A$101,A40)=1,OR(B40="E1",B40="E2"),OR(C40="primary",C40="second",C40="other"),OR(D40="chasing",D40="nudge",D40="reply_logging",D40="reconciliation",D40="setup",D40="handover"),ISNUMBER(E40),E40&gt;=0),"OK","CHECK"),"CHECK"))</x:f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2" customHeight="1">
      <x:c r="A41" s="7"/>
      <x:c r="B41" s="7"/>
      <x:c r="C41" s="7"/>
      <x:c r="D41" s="7"/>
      <x:c r="E41" s="7"/>
      <x:c r="F41" s="3" t="str">
        <x:f>IF(COUNTA(A41:E41)=0,"",IFERROR(IF(AND(A41&lt;&gt;"",COUNTIF($A$2:$A$101,A41)=1,OR(B41="E1",B41="E2"),OR(C41="primary",C41="second",C41="other"),OR(D41="chasing",D41="nudge",D41="reply_logging",D41="reconciliation",D41="setup",D41="handover"),ISNUMBER(E41),E41&gt;=0),"OK","CHECK"),"CHECK"))</x:f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2" customHeight="1">
      <x:c r="A42" s="7"/>
      <x:c r="B42" s="7"/>
      <x:c r="C42" s="7"/>
      <x:c r="D42" s="7"/>
      <x:c r="E42" s="7"/>
      <x:c r="F42" s="3" t="str">
        <x:f>IF(COUNTA(A42:E42)=0,"",IFERROR(IF(AND(A42&lt;&gt;"",COUNTIF($A$2:$A$101,A42)=1,OR(B42="E1",B42="E2"),OR(C42="primary",C42="second",C42="other"),OR(D42="chasing",D42="nudge",D42="reply_logging",D42="reconciliation",D42="setup",D42="handover"),ISNUMBER(E42),E42&gt;=0),"OK","CHECK"),"CHECK"))</x:f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2" customHeight="1">
      <x:c r="A43" s="7"/>
      <x:c r="B43" s="7"/>
      <x:c r="C43" s="7"/>
      <x:c r="D43" s="7"/>
      <x:c r="E43" s="7"/>
      <x:c r="F43" s="3" t="str">
        <x:f>IF(COUNTA(A43:E43)=0,"",IFERROR(IF(AND(A43&lt;&gt;"",COUNTIF($A$2:$A$101,A43)=1,OR(B43="E1",B43="E2"),OR(C43="primary",C43="second",C43="other"),OR(D43="chasing",D43="nudge",D43="reply_logging",D43="reconciliation",D43="setup",D43="handover"),ISNUMBER(E43),E43&gt;=0),"OK","CHECK"),"CHECK"))</x:f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2" customHeight="1">
      <x:c r="A44" s="7"/>
      <x:c r="B44" s="7"/>
      <x:c r="C44" s="7"/>
      <x:c r="D44" s="7"/>
      <x:c r="E44" s="7"/>
      <x:c r="F44" s="3" t="str">
        <x:f>IF(COUNTA(A44:E44)=0,"",IFERROR(IF(AND(A44&lt;&gt;"",COUNTIF($A$2:$A$101,A44)=1,OR(B44="E1",B44="E2"),OR(C44="primary",C44="second",C44="other"),OR(D44="chasing",D44="nudge",D44="reply_logging",D44="reconciliation",D44="setup",D44="handover"),ISNUMBER(E44),E44&gt;=0),"OK","CHECK"),"CHECK"))</x:f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2" customHeight="1">
      <x:c r="A45" s="7"/>
      <x:c r="B45" s="7"/>
      <x:c r="C45" s="7"/>
      <x:c r="D45" s="7"/>
      <x:c r="E45" s="7"/>
      <x:c r="F45" s="3" t="str">
        <x:f>IF(COUNTA(A45:E45)=0,"",IFERROR(IF(AND(A45&lt;&gt;"",COUNTIF($A$2:$A$101,A45)=1,OR(B45="E1",B45="E2"),OR(C45="primary",C45="second",C45="other"),OR(D45="chasing",D45="nudge",D45="reply_logging",D45="reconciliation",D45="setup",D45="handover"),ISNUMBER(E45),E45&gt;=0),"OK","CHECK"),"CHECK"))</x:f>
      </x:c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ht="22" customHeight="1">
      <x:c r="A46" s="7"/>
      <x:c r="B46" s="7"/>
      <x:c r="C46" s="7"/>
      <x:c r="D46" s="7"/>
      <x:c r="E46" s="7"/>
      <x:c r="F46" s="3" t="str">
        <x:f>IF(COUNTA(A46:E46)=0,"",IFERROR(IF(AND(A46&lt;&gt;"",COUNTIF($A$2:$A$101,A46)=1,OR(B46="E1",B46="E2"),OR(C46="primary",C46="second",C46="other"),OR(D46="chasing",D46="nudge",D46="reply_logging",D46="reconciliation",D46="setup",D46="handover"),ISNUMBER(E46),E46&gt;=0),"OK","CHECK"),"CHECK"))</x:f>
      </x:c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ht="22" customHeight="1">
      <x:c r="A47" s="7"/>
      <x:c r="B47" s="7"/>
      <x:c r="C47" s="7"/>
      <x:c r="D47" s="7"/>
      <x:c r="E47" s="7"/>
      <x:c r="F47" s="3" t="str">
        <x:f>IF(COUNTA(A47:E47)=0,"",IFERROR(IF(AND(A47&lt;&gt;"",COUNTIF($A$2:$A$101,A47)=1,OR(B47="E1",B47="E2"),OR(C47="primary",C47="second",C47="other"),OR(D47="chasing",D47="nudge",D47="reply_logging",D47="reconciliation",D47="setup",D47="handover"),ISNUMBER(E47),E47&gt;=0),"OK","CHECK"),"CHECK"))</x:f>
      </x:c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ht="22" customHeight="1">
      <x:c r="A48" s="7"/>
      <x:c r="B48" s="7"/>
      <x:c r="C48" s="7"/>
      <x:c r="D48" s="7"/>
      <x:c r="E48" s="7"/>
      <x:c r="F48" s="3" t="str">
        <x:f>IF(COUNTA(A48:E48)=0,"",IFERROR(IF(AND(A48&lt;&gt;"",COUNTIF($A$2:$A$101,A48)=1,OR(B48="E1",B48="E2"),OR(C48="primary",C48="second",C48="other"),OR(D48="chasing",D48="nudge",D48="reply_logging",D48="reconciliation",D48="setup",D48="handover"),ISNUMBER(E48),E48&gt;=0),"OK","CHECK"),"CHECK"))</x:f>
      </x:c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ht="22" customHeight="1">
      <x:c r="A49" s="7"/>
      <x:c r="B49" s="7"/>
      <x:c r="C49" s="7"/>
      <x:c r="D49" s="7"/>
      <x:c r="E49" s="7"/>
      <x:c r="F49" s="3" t="str">
        <x:f>IF(COUNTA(A49:E49)=0,"",IFERROR(IF(AND(A49&lt;&gt;"",COUNTIF($A$2:$A$101,A49)=1,OR(B49="E1",B49="E2"),OR(C49="primary",C49="second",C49="other"),OR(D49="chasing",D49="nudge",D49="reply_logging",D49="reconciliation",D49="setup",D49="handover"),ISNUMBER(E49),E49&gt;=0),"OK","CHECK"),"CHECK"))</x:f>
      </x:c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ht="22" customHeight="1">
      <x:c r="A50" s="7"/>
      <x:c r="B50" s="7"/>
      <x:c r="C50" s="7"/>
      <x:c r="D50" s="7"/>
      <x:c r="E50" s="7"/>
      <x:c r="F50" s="3" t="str">
        <x:f>IF(COUNTA(A50:E50)=0,"",IFERROR(IF(AND(A50&lt;&gt;"",COUNTIF($A$2:$A$101,A50)=1,OR(B50="E1",B50="E2"),OR(C50="primary",C50="second",C50="other"),OR(D50="chasing",D50="nudge",D50="reply_logging",D50="reconciliation",D50="setup",D50="handover"),ISNUMBER(E50),E50&gt;=0),"OK","CHECK"),"CHECK"))</x:f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ht="22" customHeight="1">
      <x:c r="A51" s="7"/>
      <x:c r="B51" s="7"/>
      <x:c r="C51" s="7"/>
      <x:c r="D51" s="7"/>
      <x:c r="E51" s="7"/>
      <x:c r="F51" s="3" t="str">
        <x:f>IF(COUNTA(A51:E51)=0,"",IFERROR(IF(AND(A51&lt;&gt;"",COUNTIF($A$2:$A$101,A51)=1,OR(B51="E1",B51="E2"),OR(C51="primary",C51="second",C51="other"),OR(D51="chasing",D51="nudge",D51="reply_logging",D51="reconciliation",D51="setup",D51="handover"),ISNUMBER(E51),E51&gt;=0),"OK","CHECK"),"CHECK"))</x:f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ht="22" customHeight="1">
      <x:c r="A52" s="7"/>
      <x:c r="B52" s="7"/>
      <x:c r="C52" s="7"/>
      <x:c r="D52" s="7"/>
      <x:c r="E52" s="7"/>
      <x:c r="F52" s="3" t="str">
        <x:f>IF(COUNTA(A52:E52)=0,"",IFERROR(IF(AND(A52&lt;&gt;"",COUNTIF($A$2:$A$101,A52)=1,OR(B52="E1",B52="E2"),OR(C52="primary",C52="second",C52="other"),OR(D52="chasing",D52="nudge",D52="reply_logging",D52="reconciliation",D52="setup",D52="handover"),ISNUMBER(E52),E52&gt;=0),"OK","CHECK"),"CHECK"))</x:f>
      </x:c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ht="22" customHeight="1">
      <x:c r="A53" s="7"/>
      <x:c r="B53" s="7"/>
      <x:c r="C53" s="7"/>
      <x:c r="D53" s="7"/>
      <x:c r="E53" s="7"/>
      <x:c r="F53" s="3" t="str">
        <x:f>IF(COUNTA(A53:E53)=0,"",IFERROR(IF(AND(A53&lt;&gt;"",COUNTIF($A$2:$A$101,A53)=1,OR(B53="E1",B53="E2"),OR(C53="primary",C53="second",C53="other"),OR(D53="chasing",D53="nudge",D53="reply_logging",D53="reconciliation",D53="setup",D53="handover"),ISNUMBER(E53),E53&gt;=0),"OK","CHECK"),"CHECK"))</x:f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ht="22" customHeight="1">
      <x:c r="A54" s="7"/>
      <x:c r="B54" s="7"/>
      <x:c r="C54" s="7"/>
      <x:c r="D54" s="7"/>
      <x:c r="E54" s="7"/>
      <x:c r="F54" s="3" t="str">
        <x:f>IF(COUNTA(A54:E54)=0,"",IFERROR(IF(AND(A54&lt;&gt;"",COUNTIF($A$2:$A$101,A54)=1,OR(B54="E1",B54="E2"),OR(C54="primary",C54="second",C54="other"),OR(D54="chasing",D54="nudge",D54="reply_logging",D54="reconciliation",D54="setup",D54="handover"),ISNUMBER(E54),E54&gt;=0),"OK","CHECK"),"CHECK"))</x:f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ht="22" customHeight="1">
      <x:c r="A55" s="7"/>
      <x:c r="B55" s="7"/>
      <x:c r="C55" s="7"/>
      <x:c r="D55" s="7"/>
      <x:c r="E55" s="7"/>
      <x:c r="F55" s="3" t="str">
        <x:f>IF(COUNTA(A55:E55)=0,"",IFERROR(IF(AND(A55&lt;&gt;"",COUNTIF($A$2:$A$101,A55)=1,OR(B55="E1",B55="E2"),OR(C55="primary",C55="second",C55="other"),OR(D55="chasing",D55="nudge",D55="reply_logging",D55="reconciliation",D55="setup",D55="handover"),ISNUMBER(E55),E55&gt;=0),"OK","CHECK"),"CHECK"))</x:f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ht="22" customHeight="1">
      <x:c r="A56" s="7"/>
      <x:c r="B56" s="7"/>
      <x:c r="C56" s="7"/>
      <x:c r="D56" s="7"/>
      <x:c r="E56" s="7"/>
      <x:c r="F56" s="3" t="str">
        <x:f>IF(COUNTA(A56:E56)=0,"",IFERROR(IF(AND(A56&lt;&gt;"",COUNTIF($A$2:$A$101,A56)=1,OR(B56="E1",B56="E2"),OR(C56="primary",C56="second",C56="other"),OR(D56="chasing",D56="nudge",D56="reply_logging",D56="reconciliation",D56="setup",D56="handover"),ISNUMBER(E56),E56&gt;=0),"OK","CHECK"),"CHECK"))</x:f>
      </x:c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ht="22" customHeight="1">
      <x:c r="A57" s="7"/>
      <x:c r="B57" s="7"/>
      <x:c r="C57" s="7"/>
      <x:c r="D57" s="7"/>
      <x:c r="E57" s="7"/>
      <x:c r="F57" s="3" t="str">
        <x:f>IF(COUNTA(A57:E57)=0,"",IFERROR(IF(AND(A57&lt;&gt;"",COUNTIF($A$2:$A$101,A57)=1,OR(B57="E1",B57="E2"),OR(C57="primary",C57="second",C57="other"),OR(D57="chasing",D57="nudge",D57="reply_logging",D57="reconciliation",D57="setup",D57="handover"),ISNUMBER(E57),E57&gt;=0),"OK","CHECK"),"CHECK"))</x:f>
      </x:c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ht="22" customHeight="1">
      <x:c r="A58" s="7"/>
      <x:c r="B58" s="7"/>
      <x:c r="C58" s="7"/>
      <x:c r="D58" s="7"/>
      <x:c r="E58" s="7"/>
      <x:c r="F58" s="3" t="str">
        <x:f>IF(COUNTA(A58:E58)=0,"",IFERROR(IF(AND(A58&lt;&gt;"",COUNTIF($A$2:$A$101,A58)=1,OR(B58="E1",B58="E2"),OR(C58="primary",C58="second",C58="other"),OR(D58="chasing",D58="nudge",D58="reply_logging",D58="reconciliation",D58="setup",D58="handover"),ISNUMBER(E58),E58&gt;=0),"OK","CHECK"),"CHECK"))</x:f>
      </x:c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ht="22" customHeight="1">
      <x:c r="A59" s="7"/>
      <x:c r="B59" s="7"/>
      <x:c r="C59" s="7"/>
      <x:c r="D59" s="7"/>
      <x:c r="E59" s="7"/>
      <x:c r="F59" s="3" t="str">
        <x:f>IF(COUNTA(A59:E59)=0,"",IFERROR(IF(AND(A59&lt;&gt;"",COUNTIF($A$2:$A$101,A59)=1,OR(B59="E1",B59="E2"),OR(C59="primary",C59="second",C59="other"),OR(D59="chasing",D59="nudge",D59="reply_logging",D59="reconciliation",D59="setup",D59="handover"),ISNUMBER(E59),E59&gt;=0),"OK","CHECK"),"CHECK"))</x:f>
      </x:c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ht="22" customHeight="1">
      <x:c r="A60" s="7"/>
      <x:c r="B60" s="7"/>
      <x:c r="C60" s="7"/>
      <x:c r="D60" s="7"/>
      <x:c r="E60" s="7"/>
      <x:c r="F60" s="3" t="str">
        <x:f>IF(COUNTA(A60:E60)=0,"",IFERROR(IF(AND(A60&lt;&gt;"",COUNTIF($A$2:$A$101,A60)=1,OR(B60="E1",B60="E2"),OR(C60="primary",C60="second",C60="other"),OR(D60="chasing",D60="nudge",D60="reply_logging",D60="reconciliation",D60="setup",D60="handover"),ISNUMBER(E60),E60&gt;=0),"OK","CHECK"),"CHECK"))</x:f>
      </x:c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ht="22" customHeight="1">
      <x:c r="A61" s="7"/>
      <x:c r="B61" s="7"/>
      <x:c r="C61" s="7"/>
      <x:c r="D61" s="7"/>
      <x:c r="E61" s="7"/>
      <x:c r="F61" s="3" t="str">
        <x:f>IF(COUNTA(A61:E61)=0,"",IFERROR(IF(AND(A61&lt;&gt;"",COUNTIF($A$2:$A$101,A61)=1,OR(B61="E1",B61="E2"),OR(C61="primary",C61="second",C61="other"),OR(D61="chasing",D61="nudge",D61="reply_logging",D61="reconciliation",D61="setup",D61="handover"),ISNUMBER(E61),E61&gt;=0),"OK","CHECK"),"CHECK"))</x:f>
      </x:c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ht="22" customHeight="1">
      <x:c r="A62" s="7"/>
      <x:c r="B62" s="7"/>
      <x:c r="C62" s="7"/>
      <x:c r="D62" s="7"/>
      <x:c r="E62" s="7"/>
      <x:c r="F62" s="3" t="str">
        <x:f>IF(COUNTA(A62:E62)=0,"",IFERROR(IF(AND(A62&lt;&gt;"",COUNTIF($A$2:$A$101,A62)=1,OR(B62="E1",B62="E2"),OR(C62="primary",C62="second",C62="other"),OR(D62="chasing",D62="nudge",D62="reply_logging",D62="reconciliation",D62="setup",D62="handover"),ISNUMBER(E62),E62&gt;=0),"OK","CHECK"),"CHECK"))</x:f>
      </x:c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ht="22" customHeight="1">
      <x:c r="A63" s="7"/>
      <x:c r="B63" s="7"/>
      <x:c r="C63" s="7"/>
      <x:c r="D63" s="7"/>
      <x:c r="E63" s="7"/>
      <x:c r="F63" s="3" t="str">
        <x:f>IF(COUNTA(A63:E63)=0,"",IFERROR(IF(AND(A63&lt;&gt;"",COUNTIF($A$2:$A$101,A63)=1,OR(B63="E1",B63="E2"),OR(C63="primary",C63="second",C63="other"),OR(D63="chasing",D63="nudge",D63="reply_logging",D63="reconciliation",D63="setup",D63="handover"),ISNUMBER(E63),E63&gt;=0),"OK","CHECK"),"CHECK"))</x:f>
      </x:c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ht="22" customHeight="1">
      <x:c r="A64" s="7"/>
      <x:c r="B64" s="7"/>
      <x:c r="C64" s="7"/>
      <x:c r="D64" s="7"/>
      <x:c r="E64" s="7"/>
      <x:c r="F64" s="3" t="str">
        <x:f>IF(COUNTA(A64:E64)=0,"",IFERROR(IF(AND(A64&lt;&gt;"",COUNTIF($A$2:$A$101,A64)=1,OR(B64="E1",B64="E2"),OR(C64="primary",C64="second",C64="other"),OR(D64="chasing",D64="nudge",D64="reply_logging",D64="reconciliation",D64="setup",D64="handover"),ISNUMBER(E64),E64&gt;=0),"OK","CHECK"),"CHECK"))</x:f>
      </x:c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ht="22" customHeight="1">
      <x:c r="A65" s="7"/>
      <x:c r="B65" s="7"/>
      <x:c r="C65" s="7"/>
      <x:c r="D65" s="7"/>
      <x:c r="E65" s="7"/>
      <x:c r="F65" s="3" t="str">
        <x:f>IF(COUNTA(A65:E65)=0,"",IFERROR(IF(AND(A65&lt;&gt;"",COUNTIF($A$2:$A$101,A65)=1,OR(B65="E1",B65="E2"),OR(C65="primary",C65="second",C65="other"),OR(D65="chasing",D65="nudge",D65="reply_logging",D65="reconciliation",D65="setup",D65="handover"),ISNUMBER(E65),E65&gt;=0),"OK","CHECK"),"CHECK"))</x:f>
      </x:c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ht="22" customHeight="1">
      <x:c r="A66" s="7"/>
      <x:c r="B66" s="7"/>
      <x:c r="C66" s="7"/>
      <x:c r="D66" s="7"/>
      <x:c r="E66" s="7"/>
      <x:c r="F66" s="3" t="str">
        <x:f>IF(COUNTA(A66:E66)=0,"",IFERROR(IF(AND(A66&lt;&gt;"",COUNTIF($A$2:$A$101,A66)=1,OR(B66="E1",B66="E2"),OR(C66="primary",C66="second",C66="other"),OR(D66="chasing",D66="nudge",D66="reply_logging",D66="reconciliation",D66="setup",D66="handover"),ISNUMBER(E66),E66&gt;=0),"OK","CHECK"),"CHECK"))</x:f>
      </x:c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ht="22" customHeight="1">
      <x:c r="A67" s="7"/>
      <x:c r="B67" s="7"/>
      <x:c r="C67" s="7"/>
      <x:c r="D67" s="7"/>
      <x:c r="E67" s="7"/>
      <x:c r="F67" s="3" t="str">
        <x:f>IF(COUNTA(A67:E67)=0,"",IFERROR(IF(AND(A67&lt;&gt;"",COUNTIF($A$2:$A$101,A67)=1,OR(B67="E1",B67="E2"),OR(C67="primary",C67="second",C67="other"),OR(D67="chasing",D67="nudge",D67="reply_logging",D67="reconciliation",D67="setup",D67="handover"),ISNUMBER(E67),E67&gt;=0),"OK","CHECK"),"CHECK"))</x:f>
      </x:c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ht="22" customHeight="1">
      <x:c r="A68" s="7"/>
      <x:c r="B68" s="7"/>
      <x:c r="C68" s="7"/>
      <x:c r="D68" s="7"/>
      <x:c r="E68" s="7"/>
      <x:c r="F68" s="3" t="str">
        <x:f>IF(COUNTA(A68:E68)=0,"",IFERROR(IF(AND(A68&lt;&gt;"",COUNTIF($A$2:$A$101,A68)=1,OR(B68="E1",B68="E2"),OR(C68="primary",C68="second",C68="other"),OR(D68="chasing",D68="nudge",D68="reply_logging",D68="reconciliation",D68="setup",D68="handover"),ISNUMBER(E68),E68&gt;=0),"OK","CHECK"),"CHECK"))</x:f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ht="22" customHeight="1">
      <x:c r="A69" s="7"/>
      <x:c r="B69" s="7"/>
      <x:c r="C69" s="7"/>
      <x:c r="D69" s="7"/>
      <x:c r="E69" s="7"/>
      <x:c r="F69" s="3" t="str">
        <x:f>IF(COUNTA(A69:E69)=0,"",IFERROR(IF(AND(A69&lt;&gt;"",COUNTIF($A$2:$A$101,A69)=1,OR(B69="E1",B69="E2"),OR(C69="primary",C69="second",C69="other"),OR(D69="chasing",D69="nudge",D69="reply_logging",D69="reconciliation",D69="setup",D69="handover"),ISNUMBER(E69),E69&gt;=0),"OK","CHECK"),"CHECK"))</x:f>
      </x:c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ht="22" customHeight="1">
      <x:c r="A70" s="7"/>
      <x:c r="B70" s="7"/>
      <x:c r="C70" s="7"/>
      <x:c r="D70" s="7"/>
      <x:c r="E70" s="7"/>
      <x:c r="F70" s="3" t="str">
        <x:f>IF(COUNTA(A70:E70)=0,"",IFERROR(IF(AND(A70&lt;&gt;"",COUNTIF($A$2:$A$101,A70)=1,OR(B70="E1",B70="E2"),OR(C70="primary",C70="second",C70="other"),OR(D70="chasing",D70="nudge",D70="reply_logging",D70="reconciliation",D70="setup",D70="handover"),ISNUMBER(E70),E70&gt;=0),"OK","CHECK"),"CHECK"))</x:f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ht="22" customHeight="1">
      <x:c r="A71" s="7"/>
      <x:c r="B71" s="7"/>
      <x:c r="C71" s="7"/>
      <x:c r="D71" s="7"/>
      <x:c r="E71" s="7"/>
      <x:c r="F71" s="3" t="str">
        <x:f>IF(COUNTA(A71:E71)=0,"",IFERROR(IF(AND(A71&lt;&gt;"",COUNTIF($A$2:$A$101,A71)=1,OR(B71="E1",B71="E2"),OR(C71="primary",C71="second",C71="other"),OR(D71="chasing",D71="nudge",D71="reply_logging",D71="reconciliation",D71="setup",D71="handover"),ISNUMBER(E71),E71&gt;=0),"OK","CHECK"),"CHECK"))</x:f>
      </x:c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ht="22" customHeight="1">
      <x:c r="A72" s="7"/>
      <x:c r="B72" s="7"/>
      <x:c r="C72" s="7"/>
      <x:c r="D72" s="7"/>
      <x:c r="E72" s="7"/>
      <x:c r="F72" s="3" t="str">
        <x:f>IF(COUNTA(A72:E72)=0,"",IFERROR(IF(AND(A72&lt;&gt;"",COUNTIF($A$2:$A$101,A72)=1,OR(B72="E1",B72="E2"),OR(C72="primary",C72="second",C72="other"),OR(D72="chasing",D72="nudge",D72="reply_logging",D72="reconciliation",D72="setup",D72="handover"),ISNUMBER(E72),E72&gt;=0),"OK","CHECK"),"CHECK"))</x:f>
      </x:c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ht="22" customHeight="1">
      <x:c r="A73" s="7"/>
      <x:c r="B73" s="7"/>
      <x:c r="C73" s="7"/>
      <x:c r="D73" s="7"/>
      <x:c r="E73" s="7"/>
      <x:c r="F73" s="3" t="str">
        <x:f>IF(COUNTA(A73:E73)=0,"",IFERROR(IF(AND(A73&lt;&gt;"",COUNTIF($A$2:$A$101,A73)=1,OR(B73="E1",B73="E2"),OR(C73="primary",C73="second",C73="other"),OR(D73="chasing",D73="nudge",D73="reply_logging",D73="reconciliation",D73="setup",D73="handover"),ISNUMBER(E73),E73&gt;=0),"OK","CHECK"),"CHECK"))</x:f>
      </x:c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ht="22" customHeight="1">
      <x:c r="A74" s="7"/>
      <x:c r="B74" s="7"/>
      <x:c r="C74" s="7"/>
      <x:c r="D74" s="7"/>
      <x:c r="E74" s="7"/>
      <x:c r="F74" s="3" t="str">
        <x:f>IF(COUNTA(A74:E74)=0,"",IFERROR(IF(AND(A74&lt;&gt;"",COUNTIF($A$2:$A$101,A74)=1,OR(B74="E1",B74="E2"),OR(C74="primary",C74="second",C74="other"),OR(D74="chasing",D74="nudge",D74="reply_logging",D74="reconciliation",D74="setup",D74="handover"),ISNUMBER(E74),E74&gt;=0),"OK","CHECK"),"CHECK"))</x:f>
      </x:c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ht="22" customHeight="1">
      <x:c r="A75" s="7"/>
      <x:c r="B75" s="7"/>
      <x:c r="C75" s="7"/>
      <x:c r="D75" s="7"/>
      <x:c r="E75" s="7"/>
      <x:c r="F75" s="3" t="str">
        <x:f>IF(COUNTA(A75:E75)=0,"",IFERROR(IF(AND(A75&lt;&gt;"",COUNTIF($A$2:$A$101,A75)=1,OR(B75="E1",B75="E2"),OR(C75="primary",C75="second",C75="other"),OR(D75="chasing",D75="nudge",D75="reply_logging",D75="reconciliation",D75="setup",D75="handover"),ISNUMBER(E75),E75&gt;=0),"OK","CHECK"),"CHECK"))</x:f>
      </x:c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ht="22" customHeight="1">
      <x:c r="A76" s="7"/>
      <x:c r="B76" s="7"/>
      <x:c r="C76" s="7"/>
      <x:c r="D76" s="7"/>
      <x:c r="E76" s="7"/>
      <x:c r="F76" s="3" t="str">
        <x:f>IF(COUNTA(A76:E76)=0,"",IFERROR(IF(AND(A76&lt;&gt;"",COUNTIF($A$2:$A$101,A76)=1,OR(B76="E1",B76="E2"),OR(C76="primary",C76="second",C76="other"),OR(D76="chasing",D76="nudge",D76="reply_logging",D76="reconciliation",D76="setup",D76="handover"),ISNUMBER(E76),E76&gt;=0),"OK","CHECK"),"CHECK"))</x:f>
      </x:c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ht="22" customHeight="1">
      <x:c r="A77" s="7"/>
      <x:c r="B77" s="7"/>
      <x:c r="C77" s="7"/>
      <x:c r="D77" s="7"/>
      <x:c r="E77" s="7"/>
      <x:c r="F77" s="3" t="str">
        <x:f>IF(COUNTA(A77:E77)=0,"",IFERROR(IF(AND(A77&lt;&gt;"",COUNTIF($A$2:$A$101,A77)=1,OR(B77="E1",B77="E2"),OR(C77="primary",C77="second",C77="other"),OR(D77="chasing",D77="nudge",D77="reply_logging",D77="reconciliation",D77="setup",D77="handover"),ISNUMBER(E77),E77&gt;=0),"OK","CHECK"),"CHECK"))</x:f>
      </x:c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ht="22" customHeight="1">
      <x:c r="A78" s="7"/>
      <x:c r="B78" s="7"/>
      <x:c r="C78" s="7"/>
      <x:c r="D78" s="7"/>
      <x:c r="E78" s="7"/>
      <x:c r="F78" s="3" t="str">
        <x:f>IF(COUNTA(A78:E78)=0,"",IFERROR(IF(AND(A78&lt;&gt;"",COUNTIF($A$2:$A$101,A78)=1,OR(B78="E1",B78="E2"),OR(C78="primary",C78="second",C78="other"),OR(D78="chasing",D78="nudge",D78="reply_logging",D78="reconciliation",D78="setup",D78="handover"),ISNUMBER(E78),E78&gt;=0),"OK","CHECK"),"CHECK"))</x:f>
      </x:c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ht="22" customHeight="1">
      <x:c r="A79" s="7"/>
      <x:c r="B79" s="7"/>
      <x:c r="C79" s="7"/>
      <x:c r="D79" s="7"/>
      <x:c r="E79" s="7"/>
      <x:c r="F79" s="3" t="str">
        <x:f>IF(COUNTA(A79:E79)=0,"",IFERROR(IF(AND(A79&lt;&gt;"",COUNTIF($A$2:$A$101,A79)=1,OR(B79="E1",B79="E2"),OR(C79="primary",C79="second",C79="other"),OR(D79="chasing",D79="nudge",D79="reply_logging",D79="reconciliation",D79="setup",D79="handover"),ISNUMBER(E79),E79&gt;=0),"OK","CHECK"),"CHECK"))</x:f>
      </x:c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ht="22" customHeight="1">
      <x:c r="A80" s="7"/>
      <x:c r="B80" s="7"/>
      <x:c r="C80" s="7"/>
      <x:c r="D80" s="7"/>
      <x:c r="E80" s="7"/>
      <x:c r="F80" s="3" t="str">
        <x:f>IF(COUNTA(A80:E80)=0,"",IFERROR(IF(AND(A80&lt;&gt;"",COUNTIF($A$2:$A$101,A80)=1,OR(B80="E1",B80="E2"),OR(C80="primary",C80="second",C80="other"),OR(D80="chasing",D80="nudge",D80="reply_logging",D80="reconciliation",D80="setup",D80="handover"),ISNUMBER(E80),E80&gt;=0),"OK","CHECK"),"CHECK"))</x:f>
      </x:c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ht="22" customHeight="1">
      <x:c r="A81" s="7"/>
      <x:c r="B81" s="7"/>
      <x:c r="C81" s="7"/>
      <x:c r="D81" s="7"/>
      <x:c r="E81" s="7"/>
      <x:c r="F81" s="3" t="str">
        <x:f>IF(COUNTA(A81:E81)=0,"",IFERROR(IF(AND(A81&lt;&gt;"",COUNTIF($A$2:$A$101,A81)=1,OR(B81="E1",B81="E2"),OR(C81="primary",C81="second",C81="other"),OR(D81="chasing",D81="nudge",D81="reply_logging",D81="reconciliation",D81="setup",D81="handover"),ISNUMBER(E81),E81&gt;=0),"OK","CHECK"),"CHECK"))</x:f>
      </x:c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ht="22" customHeight="1">
      <x:c r="A82" s="7"/>
      <x:c r="B82" s="7"/>
      <x:c r="C82" s="7"/>
      <x:c r="D82" s="7"/>
      <x:c r="E82" s="7"/>
      <x:c r="F82" s="3" t="str">
        <x:f>IF(COUNTA(A82:E82)=0,"",IFERROR(IF(AND(A82&lt;&gt;"",COUNTIF($A$2:$A$101,A82)=1,OR(B82="E1",B82="E2"),OR(C82="primary",C82="second",C82="other"),OR(D82="chasing",D82="nudge",D82="reply_logging",D82="reconciliation",D82="setup",D82="handover"),ISNUMBER(E82),E82&gt;=0),"OK","CHECK"),"CHECK"))</x:f>
      </x:c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ht="22" customHeight="1">
      <x:c r="A83" s="7"/>
      <x:c r="B83" s="7"/>
      <x:c r="C83" s="7"/>
      <x:c r="D83" s="7"/>
      <x:c r="E83" s="7"/>
      <x:c r="F83" s="3" t="str">
        <x:f>IF(COUNTA(A83:E83)=0,"",IFERROR(IF(AND(A83&lt;&gt;"",COUNTIF($A$2:$A$101,A83)=1,OR(B83="E1",B83="E2"),OR(C83="primary",C83="second",C83="other"),OR(D83="chasing",D83="nudge",D83="reply_logging",D83="reconciliation",D83="setup",D83="handover"),ISNUMBER(E83),E83&gt;=0),"OK","CHECK"),"CHECK"))</x:f>
      </x:c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ht="22" customHeight="1">
      <x:c r="A84" s="7"/>
      <x:c r="B84" s="7"/>
      <x:c r="C84" s="7"/>
      <x:c r="D84" s="7"/>
      <x:c r="E84" s="7"/>
      <x:c r="F84" s="3" t="str">
        <x:f>IF(COUNTA(A84:E84)=0,"",IFERROR(IF(AND(A84&lt;&gt;"",COUNTIF($A$2:$A$101,A84)=1,OR(B84="E1",B84="E2"),OR(C84="primary",C84="second",C84="other"),OR(D84="chasing",D84="nudge",D84="reply_logging",D84="reconciliation",D84="setup",D84="handover"),ISNUMBER(E84),E84&gt;=0),"OK","CHECK"),"CHECK"))</x:f>
      </x:c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ht="22" customHeight="1">
      <x:c r="A85" s="7"/>
      <x:c r="B85" s="7"/>
      <x:c r="C85" s="7"/>
      <x:c r="D85" s="7"/>
      <x:c r="E85" s="7"/>
      <x:c r="F85" s="3" t="str">
        <x:f>IF(COUNTA(A85:E85)=0,"",IFERROR(IF(AND(A85&lt;&gt;"",COUNTIF($A$2:$A$101,A85)=1,OR(B85="E1",B85="E2"),OR(C85="primary",C85="second",C85="other"),OR(D85="chasing",D85="nudge",D85="reply_logging",D85="reconciliation",D85="setup",D85="handover"),ISNUMBER(E85),E85&gt;=0),"OK","CHECK"),"CHECK"))</x:f>
      </x:c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ht="22" customHeight="1">
      <x:c r="A86" s="7"/>
      <x:c r="B86" s="7"/>
      <x:c r="C86" s="7"/>
      <x:c r="D86" s="7"/>
      <x:c r="E86" s="7"/>
      <x:c r="F86" s="3" t="str">
        <x:f>IF(COUNTA(A86:E86)=0,"",IFERROR(IF(AND(A86&lt;&gt;"",COUNTIF($A$2:$A$101,A86)=1,OR(B86="E1",B86="E2"),OR(C86="primary",C86="second",C86="other"),OR(D86="chasing",D86="nudge",D86="reply_logging",D86="reconciliation",D86="setup",D86="handover"),ISNUMBER(E86),E86&gt;=0),"OK","CHECK"),"CHECK"))</x:f>
      </x:c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ht="22" customHeight="1">
      <x:c r="A87" s="7"/>
      <x:c r="B87" s="7"/>
      <x:c r="C87" s="7"/>
      <x:c r="D87" s="7"/>
      <x:c r="E87" s="7"/>
      <x:c r="F87" s="3" t="str">
        <x:f>IF(COUNTA(A87:E87)=0,"",IFERROR(IF(AND(A87&lt;&gt;"",COUNTIF($A$2:$A$101,A87)=1,OR(B87="E1",B87="E2"),OR(C87="primary",C87="second",C87="other"),OR(D87="chasing",D87="nudge",D87="reply_logging",D87="reconciliation",D87="setup",D87="handover"),ISNUMBER(E87),E87&gt;=0),"OK","CHECK"),"CHECK"))</x:f>
      </x:c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ht="22" customHeight="1">
      <x:c r="A88" s="7"/>
      <x:c r="B88" s="7"/>
      <x:c r="C88" s="7"/>
      <x:c r="D88" s="7"/>
      <x:c r="E88" s="7"/>
      <x:c r="F88" s="3" t="str">
        <x:f>IF(COUNTA(A88:E88)=0,"",IFERROR(IF(AND(A88&lt;&gt;"",COUNTIF($A$2:$A$101,A88)=1,OR(B88="E1",B88="E2"),OR(C88="primary",C88="second",C88="other"),OR(D88="chasing",D88="nudge",D88="reply_logging",D88="reconciliation",D88="setup",D88="handover"),ISNUMBER(E88),E88&gt;=0),"OK","CHECK"),"CHECK"))</x:f>
      </x:c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ht="22" customHeight="1">
      <x:c r="A89" s="7"/>
      <x:c r="B89" s="7"/>
      <x:c r="C89" s="7"/>
      <x:c r="D89" s="7"/>
      <x:c r="E89" s="7"/>
      <x:c r="F89" s="3" t="str">
        <x:f>IF(COUNTA(A89:E89)=0,"",IFERROR(IF(AND(A89&lt;&gt;"",COUNTIF($A$2:$A$101,A89)=1,OR(B89="E1",B89="E2"),OR(C89="primary",C89="second",C89="other"),OR(D89="chasing",D89="nudge",D89="reply_logging",D89="reconciliation",D89="setup",D89="handover"),ISNUMBER(E89),E89&gt;=0),"OK","CHECK"),"CHECK"))</x:f>
      </x:c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ht="22" customHeight="1">
      <x:c r="A90" s="7"/>
      <x:c r="B90" s="7"/>
      <x:c r="C90" s="7"/>
      <x:c r="D90" s="7"/>
      <x:c r="E90" s="7"/>
      <x:c r="F90" s="3" t="str">
        <x:f>IF(COUNTA(A90:E90)=0,"",IFERROR(IF(AND(A90&lt;&gt;"",COUNTIF($A$2:$A$101,A90)=1,OR(B90="E1",B90="E2"),OR(C90="primary",C90="second",C90="other"),OR(D90="chasing",D90="nudge",D90="reply_logging",D90="reconciliation",D90="setup",D90="handover"),ISNUMBER(E90),E90&gt;=0),"OK","CHECK"),"CHECK"))</x:f>
      </x:c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ht="22" customHeight="1">
      <x:c r="A91" s="7"/>
      <x:c r="B91" s="7"/>
      <x:c r="C91" s="7"/>
      <x:c r="D91" s="7"/>
      <x:c r="E91" s="7"/>
      <x:c r="F91" s="3" t="str">
        <x:f>IF(COUNTA(A91:E91)=0,"",IFERROR(IF(AND(A91&lt;&gt;"",COUNTIF($A$2:$A$101,A91)=1,OR(B91="E1",B91="E2"),OR(C91="primary",C91="second",C91="other"),OR(D91="chasing",D91="nudge",D91="reply_logging",D91="reconciliation",D91="setup",D91="handover"),ISNUMBER(E91),E91&gt;=0),"OK","CHECK"),"CHECK"))</x:f>
      </x:c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ht="22" customHeight="1">
      <x:c r="A92" s="7"/>
      <x:c r="B92" s="7"/>
      <x:c r="C92" s="7"/>
      <x:c r="D92" s="7"/>
      <x:c r="E92" s="7"/>
      <x:c r="F92" s="3" t="str">
        <x:f>IF(COUNTA(A92:E92)=0,"",IFERROR(IF(AND(A92&lt;&gt;"",COUNTIF($A$2:$A$101,A92)=1,OR(B92="E1",B92="E2"),OR(C92="primary",C92="second",C92="other"),OR(D92="chasing",D92="nudge",D92="reply_logging",D92="reconciliation",D92="setup",D92="handover"),ISNUMBER(E92),E92&gt;=0),"OK","CHECK"),"CHECK"))</x:f>
      </x:c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ht="22" customHeight="1">
      <x:c r="A93" s="7"/>
      <x:c r="B93" s="7"/>
      <x:c r="C93" s="7"/>
      <x:c r="D93" s="7"/>
      <x:c r="E93" s="7"/>
      <x:c r="F93" s="3" t="str">
        <x:f>IF(COUNTA(A93:E93)=0,"",IFERROR(IF(AND(A93&lt;&gt;"",COUNTIF($A$2:$A$101,A93)=1,OR(B93="E1",B93="E2"),OR(C93="primary",C93="second",C93="other"),OR(D93="chasing",D93="nudge",D93="reply_logging",D93="reconciliation",D93="setup",D93="handover"),ISNUMBER(E93),E93&gt;=0),"OK","CHECK"),"CHECK"))</x:f>
      </x:c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ht="22" customHeight="1">
      <x:c r="A94" s="7"/>
      <x:c r="B94" s="7"/>
      <x:c r="C94" s="7"/>
      <x:c r="D94" s="7"/>
      <x:c r="E94" s="7"/>
      <x:c r="F94" s="3" t="str">
        <x:f>IF(COUNTA(A94:E94)=0,"",IFERROR(IF(AND(A94&lt;&gt;"",COUNTIF($A$2:$A$101,A94)=1,OR(B94="E1",B94="E2"),OR(C94="primary",C94="second",C94="other"),OR(D94="chasing",D94="nudge",D94="reply_logging",D94="reconciliation",D94="setup",D94="handover"),ISNUMBER(E94),E94&gt;=0),"OK","CHECK"),"CHECK"))</x:f>
      </x:c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ht="22" customHeight="1">
      <x:c r="A95" s="7"/>
      <x:c r="B95" s="7"/>
      <x:c r="C95" s="7"/>
      <x:c r="D95" s="7"/>
      <x:c r="E95" s="7"/>
      <x:c r="F95" s="3" t="str">
        <x:f>IF(COUNTA(A95:E95)=0,"",IFERROR(IF(AND(A95&lt;&gt;"",COUNTIF($A$2:$A$101,A95)=1,OR(B95="E1",B95="E2"),OR(C95="primary",C95="second",C95="other"),OR(D95="chasing",D95="nudge",D95="reply_logging",D95="reconciliation",D95="setup",D95="handover"),ISNUMBER(E95),E95&gt;=0),"OK","CHECK"),"CHECK"))</x:f>
      </x:c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ht="22" customHeight="1">
      <x:c r="A96" s="7"/>
      <x:c r="B96" s="7"/>
      <x:c r="C96" s="7"/>
      <x:c r="D96" s="7"/>
      <x:c r="E96" s="7"/>
      <x:c r="F96" s="3" t="str">
        <x:f>IF(COUNTA(A96:E96)=0,"",IFERROR(IF(AND(A96&lt;&gt;"",COUNTIF($A$2:$A$101,A96)=1,OR(B96="E1",B96="E2"),OR(C96="primary",C96="second",C96="other"),OR(D96="chasing",D96="nudge",D96="reply_logging",D96="reconciliation",D96="setup",D96="handover"),ISNUMBER(E96),E96&gt;=0),"OK","CHECK"),"CHECK"))</x:f>
      </x:c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ht="22" customHeight="1">
      <x:c r="A97" s="7"/>
      <x:c r="B97" s="7"/>
      <x:c r="C97" s="7"/>
      <x:c r="D97" s="7"/>
      <x:c r="E97" s="7"/>
      <x:c r="F97" s="3" t="str">
        <x:f>IF(COUNTA(A97:E97)=0,"",IFERROR(IF(AND(A97&lt;&gt;"",COUNTIF($A$2:$A$101,A97)=1,OR(B97="E1",B97="E2"),OR(C97="primary",C97="second",C97="other"),OR(D97="chasing",D97="nudge",D97="reply_logging",D97="reconciliation",D97="setup",D97="handover"),ISNUMBER(E97),E97&gt;=0),"OK","CHECK"),"CHECK"))</x:f>
      </x:c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ht="22" customHeight="1">
      <x:c r="A98" s="7"/>
      <x:c r="B98" s="7"/>
      <x:c r="C98" s="7"/>
      <x:c r="D98" s="7"/>
      <x:c r="E98" s="7"/>
      <x:c r="F98" s="3" t="str">
        <x:f>IF(COUNTA(A98:E98)=0,"",IFERROR(IF(AND(A98&lt;&gt;"",COUNTIF($A$2:$A$101,A98)=1,OR(B98="E1",B98="E2"),OR(C98="primary",C98="second",C98="other"),OR(D98="chasing",D98="nudge",D98="reply_logging",D98="reconciliation",D98="setup",D98="handover"),ISNUMBER(E98),E98&gt;=0),"OK","CHECK"),"CHECK"))</x:f>
      </x:c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ht="22" customHeight="1">
      <x:c r="A99" s="7"/>
      <x:c r="B99" s="7"/>
      <x:c r="C99" s="7"/>
      <x:c r="D99" s="7"/>
      <x:c r="E99" s="7"/>
      <x:c r="F99" s="3" t="str">
        <x:f>IF(COUNTA(A99:E99)=0,"",IFERROR(IF(AND(A99&lt;&gt;"",COUNTIF($A$2:$A$101,A99)=1,OR(B99="E1",B99="E2"),OR(C99="primary",C99="second",C99="other"),OR(D99="chasing",D99="nudge",D99="reply_logging",D99="reconciliation",D99="setup",D99="handover"),ISNUMBER(E99),E99&gt;=0),"OK","CHECK"),"CHECK"))</x:f>
      </x:c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ht="22" customHeight="1">
      <x:c r="A100" s="7"/>
      <x:c r="B100" s="7"/>
      <x:c r="C100" s="7"/>
      <x:c r="D100" s="7"/>
      <x:c r="E100" s="7"/>
      <x:c r="F100" s="3" t="str">
        <x:f>IF(COUNTA(A100:E100)=0,"",IFERROR(IF(AND(A100&lt;&gt;"",COUNTIF($A$2:$A$101,A100)=1,OR(B100="E1",B100="E2"),OR(C100="primary",C100="second",C100="other"),OR(D100="chasing",D100="nudge",D100="reply_logging",D100="reconciliation",D100="setup",D100="handover"),ISNUMBER(E100),E100&gt;=0),"OK","CHECK"),"CHECK"))</x:f>
      </x:c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ht="22" customHeight="1">
      <x:c r="A101" s="7"/>
      <x:c r="B101" s="7"/>
      <x:c r="C101" s="7"/>
      <x:c r="D101" s="7"/>
      <x:c r="E101" s="7"/>
      <x:c r="F101" s="3" t="str">
        <x:f>IF(COUNTA(A101:E101)=0,"",IFERROR(IF(AND(A101&lt;&gt;"",COUNTIF($A$2:$A$101,A101)=1,OR(B101="E1",B101="E2"),OR(C101="primary",C101="second",C101="other"),OR(D101="chasing",D101="nudge",D101="reply_logging",D101="reconciliation",D101="setup",D101="handover"),ISNUMBER(E101),E101&gt;=0),"OK","CHECK"),"CHECK"))</x:f>
      </x:c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dataValidations count="1">
    <x:dataValidation type="list" sqref="D2:D101">
      <x:formula1>"chasing,nudge,reply_logging,reconciliation,setup,handover"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6" t="str">
        <x:v>event</x:v>
      </x:c>
      <x:c r="B1" s="6" t="str">
        <x:v>dimension</x:v>
      </x:c>
      <x:c r="C1" s="6" t="str">
        <x:v>group</x:v>
      </x:c>
      <x:c r="D1" s="6" t="str">
        <x:v>metric</x:v>
      </x:c>
      <x:c r="E1" s="6" t="str">
        <x:v>numerator</x:v>
      </x:c>
      <x:c r="F1" s="6" t="str">
        <x:v>denominator</x:v>
      </x:c>
      <x:c r="G1" s="6" t="str">
        <x:v>other_numerator</x:v>
      </x:c>
      <x:c r="H1" s="6" t="str">
        <x:v>other_denominator</x:v>
      </x:c>
      <x:c r="I1" s="6" t="str">
        <x:v>gap_pp</x:v>
      </x:c>
      <x:c r="J1" s="6" t="str">
        <x:v>result</x:v>
      </x:c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3" t="str">
        <x:v>E1</x:v>
      </x:c>
      <x:c r="B2" s="3" t="str">
        <x:v>experience</x:v>
      </x:c>
      <x:c r="C2" s="3" t="str">
        <x:v>regular</x:v>
      </x:c>
      <x:c r="D2" s="3" t="str">
        <x:v>T1</x:v>
      </x:c>
      <x:c r="E2" s="3" t="n">
        <x:f>COUNTIFS(E1!$F$2:$F$201,"include",E1!$E$2:$E$201,C2,E1!$K$2:$K$201,"yes",E1!$N$2:$N$201,"yes")</x:f>
        <x:v>0</x:v>
      </x:c>
      <x:c r="F2" s="3" t="n">
        <x:f>COUNTIFS(E1!$F$2:$F$201,"include",E1!$E$2:$E$201,C2,E1!$K$2:$K$201,"yes")</x:f>
        <x:v>0</x:v>
      </x:c>
      <x:c r="G2" s="3" t="n">
        <x:f>COUNTIFS(E1!$F$2:$F$201,"include",E1!$E$2:$E$201,"&lt;&gt;"&amp;C2,E1!$K$2:$K$201,"yes",E1!$N$2:$N$201,"yes")</x:f>
        <x:v>0</x:v>
      </x:c>
      <x:c r="H2" s="3" t="n">
        <x:f>COUNTIFS(E1!$F$2:$F$201,"include",E1!$E$2:$E$201,"&lt;&gt;"&amp;C2,E1!$K$2:$K$201,"yes")</x:f>
        <x:v>0</x:v>
      </x:c>
      <x:c r="I2" s="9" t="str">
        <x:f>IF(OR(F2=0,H2=0),"",100*(G2/H2-E2/F2))</x:f>
      </x:c>
      <x:c r="J2" s="3" t="str">
        <x:f>IF(AND(B2="language",NOT(ISNUMBER(SEARCH("|"&amp;C2&amp;"|","|"&amp;Settings!$B$9&amp;"|")))),"OUT OF SCOPE",IF(Scorecard!B8&lt;&gt;"PASS","BLOCKED",IF(OR(F2&lt;Settings!$B$8,H2&lt;Settings!$B$8),"INCONCLUSIVE",IF(ROUND(I2,10)&gt;100*Settings!$B$7,"FAIL","PASS"))))</x:f>
        <x:v>BLOCKED</x:v>
      </x:c>
      <x:c r="K2" s="3"/>
      <x:c r="L2" s="3"/>
      <x:c r="M2" s="3"/>
      <x:c r="N2" s="3"/>
      <x:c r="O2" s="3"/>
      <x:c r="P2" s="3"/>
      <x:c r="Q2" s="3"/>
      <x:c r="R2" s="3"/>
    </x:row>
    <x:row r="3" ht="22" customHeight="1">
      <x:c r="A3" s="3" t="str">
        <x:v>E1</x:v>
      </x:c>
      <x:c r="B3" s="3" t="str">
        <x:v>experience</x:v>
      </x:c>
      <x:c r="C3" s="3" t="str">
        <x:v>regular</x:v>
      </x:c>
      <x:c r="D3" s="3" t="str">
        <x:v>T4</x:v>
      </x:c>
      <x:c r="E3" s="3" t="n">
        <x:f>COUNTIFS(E1!$F$2:$F$201,"include",E1!$E$2:$E$201,C3,E1!$I$2:$I$201,"success",E1!$K$2:$K$201,"yes")+COUNTIFS(E1!$F$2:$F$201,"include",E1!$E$2:$E$201,C3,E1!$I$2:$I$201,"success",E1!$K$2:$K$201,"no")</x:f>
        <x:v>0</x:v>
      </x:c>
      <x:c r="F3" s="3" t="n">
        <x:f>COUNTIFS(E1!$F$2:$F$201,"include",E1!$E$2:$E$201,C3,E1!$I$2:$I$201,"success")</x:f>
        <x:v>0</x:v>
      </x:c>
      <x:c r="G3" s="3" t="n">
        <x:f>COUNTIFS(E1!$F$2:$F$201,"include",E1!$E$2:$E$201,"&lt;&gt;"&amp;C3,E1!$I$2:$I$201,"success",E1!$K$2:$K$201,"yes")+COUNTIFS(E1!$F$2:$F$201,"include",E1!$E$2:$E$201,"&lt;&gt;"&amp;C3,E1!$I$2:$I$201,"success",E1!$K$2:$K$201,"no")</x:f>
        <x:v>0</x:v>
      </x:c>
      <x:c r="H3" s="3" t="n">
        <x:f>COUNTIFS(E1!$F$2:$F$201,"include",E1!$E$2:$E$201,"&lt;&gt;"&amp;C3,E1!$I$2:$I$201,"success")</x:f>
        <x:v>0</x:v>
      </x:c>
      <x:c r="I3" s="9" t="str">
        <x:f>IF(OR(F3=0,H3=0),"",100*(G3/H3-E3/F3))</x:f>
      </x:c>
      <x:c r="J3" s="3" t="str">
        <x:f>IF(AND(B3="language",NOT(ISNUMBER(SEARCH("|"&amp;C3&amp;"|","|"&amp;Settings!$B$9&amp;"|")))),"OUT OF SCOPE",IF(Scorecard!B8&lt;&gt;"PASS","BLOCKED",IF(OR(F3&lt;Settings!$B$8,H3&lt;Settings!$B$8),"INCONCLUSIVE",IF(ROUND(I3,10)&gt;100*Settings!$B$7,"FAIL","PASS"))))</x:f>
        <x:v>BLOCKED</x:v>
      </x:c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3" t="str">
        <x:v>E1</x:v>
      </x:c>
      <x:c r="B4" s="3" t="str">
        <x:v>experience</x:v>
      </x:c>
      <x:c r="C4" s="3" t="str">
        <x:v>first</x:v>
      </x:c>
      <x:c r="D4" s="3" t="str">
        <x:v>T1</x:v>
      </x:c>
      <x:c r="E4" s="3" t="n">
        <x:f>COUNTIFS(E1!$F$2:$F$201,"include",E1!$E$2:$E$201,C4,E1!$K$2:$K$201,"yes",E1!$N$2:$N$201,"yes")</x:f>
        <x:v>0</x:v>
      </x:c>
      <x:c r="F4" s="3" t="n">
        <x:f>COUNTIFS(E1!$F$2:$F$201,"include",E1!$E$2:$E$201,C4,E1!$K$2:$K$201,"yes")</x:f>
        <x:v>0</x:v>
      </x:c>
      <x:c r="G4" s="3" t="n">
        <x:f>COUNTIFS(E1!$F$2:$F$201,"include",E1!$E$2:$E$201,"&lt;&gt;"&amp;C4,E1!$K$2:$K$201,"yes",E1!$N$2:$N$201,"yes")</x:f>
        <x:v>0</x:v>
      </x:c>
      <x:c r="H4" s="3" t="n">
        <x:f>COUNTIFS(E1!$F$2:$F$201,"include",E1!$E$2:$E$201,"&lt;&gt;"&amp;C4,E1!$K$2:$K$201,"yes")</x:f>
        <x:v>0</x:v>
      </x:c>
      <x:c r="I4" s="9" t="str">
        <x:f>IF(OR(F4=0,H4=0),"",100*(G4/H4-E4/F4))</x:f>
      </x:c>
      <x:c r="J4" s="3" t="str">
        <x:f>IF(AND(B4="language",NOT(ISNUMBER(SEARCH("|"&amp;C4&amp;"|","|"&amp;Settings!$B$9&amp;"|")))),"OUT OF SCOPE",IF(Scorecard!B8&lt;&gt;"PASS","BLOCKED",IF(OR(F4&lt;Settings!$B$8,H4&lt;Settings!$B$8),"INCONCLUSIVE",IF(ROUND(I4,10)&gt;100*Settings!$B$7,"FAIL","PASS"))))</x:f>
        <x:v>BLOCKED</x:v>
      </x:c>
      <x:c r="K4" s="3"/>
      <x:c r="L4" s="3"/>
      <x:c r="M4" s="3"/>
      <x:c r="N4" s="3"/>
      <x:c r="O4" s="3"/>
      <x:c r="P4" s="3"/>
      <x:c r="Q4" s="3"/>
      <x:c r="R4" s="3"/>
    </x:row>
    <x:row r="5" ht="22" customHeight="1">
      <x:c r="A5" s="3" t="str">
        <x:v>E1</x:v>
      </x:c>
      <x:c r="B5" s="3" t="str">
        <x:v>experience</x:v>
      </x:c>
      <x:c r="C5" s="3" t="str">
        <x:v>first</x:v>
      </x:c>
      <x:c r="D5" s="3" t="str">
        <x:v>T4</x:v>
      </x:c>
      <x:c r="E5" s="3" t="n">
        <x:f>COUNTIFS(E1!$F$2:$F$201,"include",E1!$E$2:$E$201,C5,E1!$I$2:$I$201,"success",E1!$K$2:$K$201,"yes")+COUNTIFS(E1!$F$2:$F$201,"include",E1!$E$2:$E$201,C5,E1!$I$2:$I$201,"success",E1!$K$2:$K$201,"no")</x:f>
        <x:v>0</x:v>
      </x:c>
      <x:c r="F5" s="3" t="n">
        <x:f>COUNTIFS(E1!$F$2:$F$201,"include",E1!$E$2:$E$201,C5,E1!$I$2:$I$201,"success")</x:f>
        <x:v>0</x:v>
      </x:c>
      <x:c r="G5" s="3" t="n">
        <x:f>COUNTIFS(E1!$F$2:$F$201,"include",E1!$E$2:$E$201,"&lt;&gt;"&amp;C5,E1!$I$2:$I$201,"success",E1!$K$2:$K$201,"yes")+COUNTIFS(E1!$F$2:$F$201,"include",E1!$E$2:$E$201,"&lt;&gt;"&amp;C5,E1!$I$2:$I$201,"success",E1!$K$2:$K$201,"no")</x:f>
        <x:v>0</x:v>
      </x:c>
      <x:c r="H5" s="3" t="n">
        <x:f>COUNTIFS(E1!$F$2:$F$201,"include",E1!$E$2:$E$201,"&lt;&gt;"&amp;C5,E1!$I$2:$I$201,"success")</x:f>
        <x:v>0</x:v>
      </x:c>
      <x:c r="I5" s="9" t="str">
        <x:f>IF(OR(F5=0,H5=0),"",100*(G5/H5-E5/F5))</x:f>
      </x:c>
      <x:c r="J5" s="3" t="str">
        <x:f>IF(AND(B5="language",NOT(ISNUMBER(SEARCH("|"&amp;C5&amp;"|","|"&amp;Settings!$B$9&amp;"|")))),"OUT OF SCOPE",IF(Scorecard!B8&lt;&gt;"PASS","BLOCKED",IF(OR(F5&lt;Settings!$B$8,H5&lt;Settings!$B$8),"INCONCLUSIVE",IF(ROUND(I5,10)&gt;100*Settings!$B$7,"FAIL","PASS"))))</x:f>
        <x:v>BLOCKED</x:v>
      </x:c>
      <x:c r="K5" s="3"/>
      <x:c r="L5" s="3"/>
      <x:c r="M5" s="3"/>
      <x:c r="N5" s="3"/>
      <x:c r="O5" s="3"/>
      <x:c r="P5" s="3"/>
      <x:c r="Q5" s="3"/>
      <x:c r="R5" s="3"/>
    </x:row>
    <x:row r="6" ht="22" customHeight="1">
      <x:c r="A6" s="3" t="str">
        <x:v>E1</x:v>
      </x:c>
      <x:c r="B6" s="3" t="str">
        <x:v>language</x:v>
      </x:c>
      <x:c r="C6" s="3" t="str">
        <x:v>EN</x:v>
      </x:c>
      <x:c r="D6" s="3" t="str">
        <x:v>T1</x:v>
      </x:c>
      <x:c r="E6" s="3" t="n">
        <x:f>COUNTIFS(E1!$F$2:$F$201,"include",E1!$D$2:$D$201,C6,E1!$K$2:$K$201,"yes",E1!$N$2:$N$201,"yes")</x:f>
        <x:v>0</x:v>
      </x:c>
      <x:c r="F6" s="3" t="n">
        <x:f>COUNTIFS(E1!$F$2:$F$201,"include",E1!$D$2:$D$201,C6,E1!$K$2:$K$201,"yes")</x:f>
        <x:v>0</x:v>
      </x:c>
      <x:c r="G6" s="3" t="n">
        <x:f>COUNTIFS(E1!$F$2:$F$201,"include",E1!$D$2:$D$201,"&lt;&gt;"&amp;C6,E1!$K$2:$K$201,"yes",E1!$N$2:$N$201,"yes")</x:f>
        <x:v>0</x:v>
      </x:c>
      <x:c r="H6" s="3" t="n">
        <x:f>COUNTIFS(E1!$F$2:$F$201,"include",E1!$D$2:$D$201,"&lt;&gt;"&amp;C6,E1!$K$2:$K$201,"yes")</x:f>
        <x:v>0</x:v>
      </x:c>
      <x:c r="I6" s="9" t="str">
        <x:f>IF(OR(F6=0,H6=0),"",100*(G6/H6-E6/F6))</x:f>
      </x:c>
      <x:c r="J6" s="3" t="str">
        <x:f>IF(AND(B6="language",NOT(ISNUMBER(SEARCH("|"&amp;C6&amp;"|","|"&amp;Settings!$B$9&amp;"|")))),"OUT OF SCOPE",IF(Scorecard!B8&lt;&gt;"PASS","BLOCKED",IF(OR(F6&lt;Settings!$B$8,H6&lt;Settings!$B$8),"INCONCLUSIVE",IF(ROUND(I6,10)&gt;100*Settings!$B$7,"FAIL","PASS"))))</x:f>
        <x:v>BLOCKED</x:v>
      </x:c>
      <x:c r="K6" s="3"/>
      <x:c r="L6" s="3"/>
      <x:c r="M6" s="3"/>
      <x:c r="N6" s="3"/>
      <x:c r="O6" s="3"/>
      <x:c r="P6" s="3"/>
      <x:c r="Q6" s="3"/>
      <x:c r="R6" s="3"/>
    </x:row>
    <x:row r="7" ht="22" customHeight="1">
      <x:c r="A7" s="3" t="str">
        <x:v>E1</x:v>
      </x:c>
      <x:c r="B7" s="3" t="str">
        <x:v>language</x:v>
      </x:c>
      <x:c r="C7" s="3" t="str">
        <x:v>EN</x:v>
      </x:c>
      <x:c r="D7" s="3" t="str">
        <x:v>T4</x:v>
      </x:c>
      <x:c r="E7" s="3" t="n">
        <x:f>COUNTIFS(E1!$F$2:$F$201,"include",E1!$D$2:$D$201,C7,E1!$I$2:$I$201,"success",E1!$K$2:$K$201,"yes")+COUNTIFS(E1!$F$2:$F$201,"include",E1!$D$2:$D$201,C7,E1!$I$2:$I$201,"success",E1!$K$2:$K$201,"no")</x:f>
        <x:v>0</x:v>
      </x:c>
      <x:c r="F7" s="3" t="n">
        <x:f>COUNTIFS(E1!$F$2:$F$201,"include",E1!$D$2:$D$201,C7,E1!$I$2:$I$201,"success")</x:f>
        <x:v>0</x:v>
      </x:c>
      <x:c r="G7" s="3" t="n">
        <x:f>COUNTIFS(E1!$F$2:$F$201,"include",E1!$D$2:$D$201,"&lt;&gt;"&amp;C7,E1!$I$2:$I$201,"success",E1!$K$2:$K$201,"yes")+COUNTIFS(E1!$F$2:$F$201,"include",E1!$D$2:$D$201,"&lt;&gt;"&amp;C7,E1!$I$2:$I$201,"success",E1!$K$2:$K$201,"no")</x:f>
        <x:v>0</x:v>
      </x:c>
      <x:c r="H7" s="3" t="n">
        <x:f>COUNTIFS(E1!$F$2:$F$201,"include",E1!$D$2:$D$201,"&lt;&gt;"&amp;C7,E1!$I$2:$I$201,"success")</x:f>
        <x:v>0</x:v>
      </x:c>
      <x:c r="I7" s="9" t="str">
        <x:f>IF(OR(F7=0,H7=0),"",100*(G7/H7-E7/F7))</x:f>
      </x:c>
      <x:c r="J7" s="3" t="str">
        <x:f>IF(AND(B7="language",NOT(ISNUMBER(SEARCH("|"&amp;C7&amp;"|","|"&amp;Settings!$B$9&amp;"|")))),"OUT OF SCOPE",IF(Scorecard!B8&lt;&gt;"PASS","BLOCKED",IF(OR(F7&lt;Settings!$B$8,H7&lt;Settings!$B$8),"INCONCLUSIVE",IF(ROUND(I7,10)&gt;100*Settings!$B$7,"FAIL","PASS"))))</x:f>
        <x:v>BLOCKED</x:v>
      </x:c>
      <x:c r="K7" s="3"/>
      <x:c r="L7" s="3"/>
      <x:c r="M7" s="3"/>
      <x:c r="N7" s="3"/>
      <x:c r="O7" s="3"/>
      <x:c r="P7" s="3"/>
      <x:c r="Q7" s="3"/>
      <x:c r="R7" s="3"/>
    </x:row>
    <x:row r="8" ht="22" customHeight="1">
      <x:c r="A8" s="3" t="str">
        <x:v>E1</x:v>
      </x:c>
      <x:c r="B8" s="3" t="str">
        <x:v>language</x:v>
      </x:c>
      <x:c r="C8" s="3" t="str">
        <x:v>ZH</x:v>
      </x:c>
      <x:c r="D8" s="3" t="str">
        <x:v>T1</x:v>
      </x:c>
      <x:c r="E8" s="3" t="n">
        <x:f>COUNTIFS(E1!$F$2:$F$201,"include",E1!$D$2:$D$201,C8,E1!$K$2:$K$201,"yes",E1!$N$2:$N$201,"yes")</x:f>
        <x:v>0</x:v>
      </x:c>
      <x:c r="F8" s="3" t="n">
        <x:f>COUNTIFS(E1!$F$2:$F$201,"include",E1!$D$2:$D$201,C8,E1!$K$2:$K$201,"yes")</x:f>
        <x:v>0</x:v>
      </x:c>
      <x:c r="G8" s="3" t="n">
        <x:f>COUNTIFS(E1!$F$2:$F$201,"include",E1!$D$2:$D$201,"&lt;&gt;"&amp;C8,E1!$K$2:$K$201,"yes",E1!$N$2:$N$201,"yes")</x:f>
        <x:v>0</x:v>
      </x:c>
      <x:c r="H8" s="3" t="n">
        <x:f>COUNTIFS(E1!$F$2:$F$201,"include",E1!$D$2:$D$201,"&lt;&gt;"&amp;C8,E1!$K$2:$K$201,"yes")</x:f>
        <x:v>0</x:v>
      </x:c>
      <x:c r="I8" s="9" t="str">
        <x:f>IF(OR(F8=0,H8=0),"",100*(G8/H8-E8/F8))</x:f>
      </x:c>
      <x:c r="J8" s="3" t="str">
        <x:f>IF(AND(B8="language",NOT(ISNUMBER(SEARCH("|"&amp;C8&amp;"|","|"&amp;Settings!$B$9&amp;"|")))),"OUT OF SCOPE",IF(Scorecard!B8&lt;&gt;"PASS","BLOCKED",IF(OR(F8&lt;Settings!$B$8,H8&lt;Settings!$B$8),"INCONCLUSIVE",IF(ROUND(I8,10)&gt;100*Settings!$B$7,"FAIL","PASS"))))</x:f>
        <x:v>BLOCKED</x:v>
      </x:c>
      <x:c r="K8" s="3"/>
      <x:c r="L8" s="3"/>
      <x:c r="M8" s="3"/>
      <x:c r="N8" s="3"/>
      <x:c r="O8" s="3"/>
      <x:c r="P8" s="3"/>
      <x:c r="Q8" s="3"/>
      <x:c r="R8" s="3"/>
    </x:row>
    <x:row r="9" ht="22" customHeight="1">
      <x:c r="A9" s="3" t="str">
        <x:v>E1</x:v>
      </x:c>
      <x:c r="B9" s="3" t="str">
        <x:v>language</x:v>
      </x:c>
      <x:c r="C9" s="3" t="str">
        <x:v>ZH</x:v>
      </x:c>
      <x:c r="D9" s="3" t="str">
        <x:v>T4</x:v>
      </x:c>
      <x:c r="E9" s="3" t="n">
        <x:f>COUNTIFS(E1!$F$2:$F$201,"include",E1!$D$2:$D$201,C9,E1!$I$2:$I$201,"success",E1!$K$2:$K$201,"yes")+COUNTIFS(E1!$F$2:$F$201,"include",E1!$D$2:$D$201,C9,E1!$I$2:$I$201,"success",E1!$K$2:$K$201,"no")</x:f>
        <x:v>0</x:v>
      </x:c>
      <x:c r="F9" s="3" t="n">
        <x:f>COUNTIFS(E1!$F$2:$F$201,"include",E1!$D$2:$D$201,C9,E1!$I$2:$I$201,"success")</x:f>
        <x:v>0</x:v>
      </x:c>
      <x:c r="G9" s="3" t="n">
        <x:f>COUNTIFS(E1!$F$2:$F$201,"include",E1!$D$2:$D$201,"&lt;&gt;"&amp;C9,E1!$I$2:$I$201,"success",E1!$K$2:$K$201,"yes")+COUNTIFS(E1!$F$2:$F$201,"include",E1!$D$2:$D$201,"&lt;&gt;"&amp;C9,E1!$I$2:$I$201,"success",E1!$K$2:$K$201,"no")</x:f>
        <x:v>0</x:v>
      </x:c>
      <x:c r="H9" s="3" t="n">
        <x:f>COUNTIFS(E1!$F$2:$F$201,"include",E1!$D$2:$D$201,"&lt;&gt;"&amp;C9,E1!$I$2:$I$201,"success")</x:f>
        <x:v>0</x:v>
      </x:c>
      <x:c r="I9" s="9" t="str">
        <x:f>IF(OR(F9=0,H9=0),"",100*(G9/H9-E9/F9))</x:f>
      </x:c>
      <x:c r="J9" s="3" t="str">
        <x:f>IF(AND(B9="language",NOT(ISNUMBER(SEARCH("|"&amp;C9&amp;"|","|"&amp;Settings!$B$9&amp;"|")))),"OUT OF SCOPE",IF(Scorecard!B8&lt;&gt;"PASS","BLOCKED",IF(OR(F9&lt;Settings!$B$8,H9&lt;Settings!$B$8),"INCONCLUSIVE",IF(ROUND(I9,10)&gt;100*Settings!$B$7,"FAIL","PASS"))))</x:f>
        <x:v>BLOCKED</x:v>
      </x:c>
      <x:c r="K9" s="3"/>
      <x:c r="L9" s="3"/>
      <x:c r="M9" s="3"/>
      <x:c r="N9" s="3"/>
      <x:c r="O9" s="3"/>
      <x:c r="P9" s="3"/>
      <x:c r="Q9" s="3"/>
      <x:c r="R9" s="3"/>
    </x:row>
    <x:row r="10" ht="22" customHeight="1">
      <x:c r="A10" s="3" t="str">
        <x:v>E1</x:v>
      </x:c>
      <x:c r="B10" s="3" t="str">
        <x:v>language</x:v>
      </x:c>
      <x:c r="C10" s="3" t="str">
        <x:v>MS</x:v>
      </x:c>
      <x:c r="D10" s="3" t="str">
        <x:v>T1</x:v>
      </x:c>
      <x:c r="E10" s="3" t="n">
        <x:f>COUNTIFS(E1!$F$2:$F$201,"include",E1!$D$2:$D$201,C10,E1!$K$2:$K$201,"yes",E1!$N$2:$N$201,"yes")</x:f>
        <x:v>0</x:v>
      </x:c>
      <x:c r="F10" s="3" t="n">
        <x:f>COUNTIFS(E1!$F$2:$F$201,"include",E1!$D$2:$D$201,C10,E1!$K$2:$K$201,"yes")</x:f>
        <x:v>0</x:v>
      </x:c>
      <x:c r="G10" s="3" t="n">
        <x:f>COUNTIFS(E1!$F$2:$F$201,"include",E1!$D$2:$D$201,"&lt;&gt;"&amp;C10,E1!$K$2:$K$201,"yes",E1!$N$2:$N$201,"yes")</x:f>
        <x:v>0</x:v>
      </x:c>
      <x:c r="H10" s="3" t="n">
        <x:f>COUNTIFS(E1!$F$2:$F$201,"include",E1!$D$2:$D$201,"&lt;&gt;"&amp;C10,E1!$K$2:$K$201,"yes")</x:f>
        <x:v>0</x:v>
      </x:c>
      <x:c r="I10" s="9" t="str">
        <x:f>IF(OR(F10=0,H10=0),"",100*(G10/H10-E10/F10))</x:f>
      </x:c>
      <x:c r="J10" s="3" t="str">
        <x:f>IF(AND(B10="language",NOT(ISNUMBER(SEARCH("|"&amp;C10&amp;"|","|"&amp;Settings!$B$9&amp;"|")))),"OUT OF SCOPE",IF(Scorecard!B8&lt;&gt;"PASS","BLOCKED",IF(OR(F10&lt;Settings!$B$8,H10&lt;Settings!$B$8),"INCONCLUSIVE",IF(ROUND(I10,10)&gt;100*Settings!$B$7,"FAIL","PASS"))))</x:f>
        <x:v>BLOCKED</x:v>
      </x:c>
      <x:c r="K10" s="3"/>
      <x:c r="L10" s="3"/>
      <x:c r="M10" s="3"/>
      <x:c r="N10" s="3"/>
      <x:c r="O10" s="3"/>
      <x:c r="P10" s="3"/>
      <x:c r="Q10" s="3"/>
      <x:c r="R10" s="3"/>
    </x:row>
    <x:row r="11" ht="22" customHeight="1">
      <x:c r="A11" s="3" t="str">
        <x:v>E1</x:v>
      </x:c>
      <x:c r="B11" s="3" t="str">
        <x:v>language</x:v>
      </x:c>
      <x:c r="C11" s="3" t="str">
        <x:v>MS</x:v>
      </x:c>
      <x:c r="D11" s="3" t="str">
        <x:v>T4</x:v>
      </x:c>
      <x:c r="E11" s="3" t="n">
        <x:f>COUNTIFS(E1!$F$2:$F$201,"include",E1!$D$2:$D$201,C11,E1!$I$2:$I$201,"success",E1!$K$2:$K$201,"yes")+COUNTIFS(E1!$F$2:$F$201,"include",E1!$D$2:$D$201,C11,E1!$I$2:$I$201,"success",E1!$K$2:$K$201,"no")</x:f>
        <x:v>0</x:v>
      </x:c>
      <x:c r="F11" s="3" t="n">
        <x:f>COUNTIFS(E1!$F$2:$F$201,"include",E1!$D$2:$D$201,C11,E1!$I$2:$I$201,"success")</x:f>
        <x:v>0</x:v>
      </x:c>
      <x:c r="G11" s="3" t="n">
        <x:f>COUNTIFS(E1!$F$2:$F$201,"include",E1!$D$2:$D$201,"&lt;&gt;"&amp;C11,E1!$I$2:$I$201,"success",E1!$K$2:$K$201,"yes")+COUNTIFS(E1!$F$2:$F$201,"include",E1!$D$2:$D$201,"&lt;&gt;"&amp;C11,E1!$I$2:$I$201,"success",E1!$K$2:$K$201,"no")</x:f>
        <x:v>0</x:v>
      </x:c>
      <x:c r="H11" s="3" t="n">
        <x:f>COUNTIFS(E1!$F$2:$F$201,"include",E1!$D$2:$D$201,"&lt;&gt;"&amp;C11,E1!$I$2:$I$201,"success")</x:f>
        <x:v>0</x:v>
      </x:c>
      <x:c r="I11" s="9" t="str">
        <x:f>IF(OR(F11=0,H11=0),"",100*(G11/H11-E11/F11))</x:f>
      </x:c>
      <x:c r="J11" s="3" t="str">
        <x:f>IF(AND(B11="language",NOT(ISNUMBER(SEARCH("|"&amp;C11&amp;"|","|"&amp;Settings!$B$9&amp;"|")))),"OUT OF SCOPE",IF(Scorecard!B8&lt;&gt;"PASS","BLOCKED",IF(OR(F11&lt;Settings!$B$8,H11&lt;Settings!$B$8),"INCONCLUSIVE",IF(ROUND(I11,10)&gt;100*Settings!$B$7,"FAIL","PASS"))))</x:f>
        <x:v>BLOCKED</x:v>
      </x:c>
      <x:c r="K11" s="3"/>
      <x:c r="L11" s="3"/>
      <x:c r="M11" s="3"/>
      <x:c r="N11" s="3"/>
      <x:c r="O11" s="3"/>
      <x:c r="P11" s="3"/>
      <x:c r="Q11" s="3"/>
      <x:c r="R11" s="3"/>
    </x:row>
    <x:row r="12" ht="22" customHeight="1">
      <x:c r="A12" s="3" t="str">
        <x:v>E1</x:v>
      </x:c>
      <x:c r="B12" s="3" t="str">
        <x:v>language</x:v>
      </x:c>
      <x:c r="C12" s="3" t="str">
        <x:v>TA</x:v>
      </x:c>
      <x:c r="D12" s="3" t="str">
        <x:v>T1</x:v>
      </x:c>
      <x:c r="E12" s="3" t="n">
        <x:f>COUNTIFS(E1!$F$2:$F$201,"include",E1!$D$2:$D$201,C12,E1!$K$2:$K$201,"yes",E1!$N$2:$N$201,"yes")</x:f>
        <x:v>0</x:v>
      </x:c>
      <x:c r="F12" s="3" t="n">
        <x:f>COUNTIFS(E1!$F$2:$F$201,"include",E1!$D$2:$D$201,C12,E1!$K$2:$K$201,"yes")</x:f>
        <x:v>0</x:v>
      </x:c>
      <x:c r="G12" s="3" t="n">
        <x:f>COUNTIFS(E1!$F$2:$F$201,"include",E1!$D$2:$D$201,"&lt;&gt;"&amp;C12,E1!$K$2:$K$201,"yes",E1!$N$2:$N$201,"yes")</x:f>
        <x:v>0</x:v>
      </x:c>
      <x:c r="H12" s="3" t="n">
        <x:f>COUNTIFS(E1!$F$2:$F$201,"include",E1!$D$2:$D$201,"&lt;&gt;"&amp;C12,E1!$K$2:$K$201,"yes")</x:f>
        <x:v>0</x:v>
      </x:c>
      <x:c r="I12" s="9" t="str">
        <x:f>IF(OR(F12=0,H12=0),"",100*(G12/H12-E12/F12))</x:f>
      </x:c>
      <x:c r="J12" s="3" t="str">
        <x:f>IF(AND(B12="language",NOT(ISNUMBER(SEARCH("|"&amp;C12&amp;"|","|"&amp;Settings!$B$9&amp;"|")))),"OUT OF SCOPE",IF(Scorecard!B8&lt;&gt;"PASS","BLOCKED",IF(OR(F12&lt;Settings!$B$8,H12&lt;Settings!$B$8),"INCONCLUSIVE",IF(ROUND(I12,10)&gt;100*Settings!$B$7,"FAIL","PASS"))))</x:f>
        <x:v>OUT OF SCOPE</x:v>
      </x:c>
      <x:c r="K12" s="3"/>
      <x:c r="L12" s="3"/>
      <x:c r="M12" s="3"/>
      <x:c r="N12" s="3"/>
      <x:c r="O12" s="3"/>
      <x:c r="P12" s="3"/>
      <x:c r="Q12" s="3"/>
      <x:c r="R12" s="3"/>
    </x:row>
    <x:row r="13" ht="22" customHeight="1">
      <x:c r="A13" s="3" t="str">
        <x:v>E1</x:v>
      </x:c>
      <x:c r="B13" s="3" t="str">
        <x:v>language</x:v>
      </x:c>
      <x:c r="C13" s="3" t="str">
        <x:v>TA</x:v>
      </x:c>
      <x:c r="D13" s="3" t="str">
        <x:v>T4</x:v>
      </x:c>
      <x:c r="E13" s="3" t="n">
        <x:f>COUNTIFS(E1!$F$2:$F$201,"include",E1!$D$2:$D$201,C13,E1!$I$2:$I$201,"success",E1!$K$2:$K$201,"yes")+COUNTIFS(E1!$F$2:$F$201,"include",E1!$D$2:$D$201,C13,E1!$I$2:$I$201,"success",E1!$K$2:$K$201,"no")</x:f>
        <x:v>0</x:v>
      </x:c>
      <x:c r="F13" s="3" t="n">
        <x:f>COUNTIFS(E1!$F$2:$F$201,"include",E1!$D$2:$D$201,C13,E1!$I$2:$I$201,"success")</x:f>
        <x:v>0</x:v>
      </x:c>
      <x:c r="G13" s="3" t="n">
        <x:f>COUNTIFS(E1!$F$2:$F$201,"include",E1!$D$2:$D$201,"&lt;&gt;"&amp;C13,E1!$I$2:$I$201,"success",E1!$K$2:$K$201,"yes")+COUNTIFS(E1!$F$2:$F$201,"include",E1!$D$2:$D$201,"&lt;&gt;"&amp;C13,E1!$I$2:$I$201,"success",E1!$K$2:$K$201,"no")</x:f>
        <x:v>0</x:v>
      </x:c>
      <x:c r="H13" s="3" t="n">
        <x:f>COUNTIFS(E1!$F$2:$F$201,"include",E1!$D$2:$D$201,"&lt;&gt;"&amp;C13,E1!$I$2:$I$201,"success")</x:f>
        <x:v>0</x:v>
      </x:c>
      <x:c r="I13" s="9" t="str">
        <x:f>IF(OR(F13=0,H13=0),"",100*(G13/H13-E13/F13))</x:f>
      </x:c>
      <x:c r="J13" s="3" t="str">
        <x:f>IF(AND(B13="language",NOT(ISNUMBER(SEARCH("|"&amp;C13&amp;"|","|"&amp;Settings!$B$9&amp;"|")))),"OUT OF SCOPE",IF(Scorecard!B8&lt;&gt;"PASS","BLOCKED",IF(OR(F13&lt;Settings!$B$8,H13&lt;Settings!$B$8),"INCONCLUSIVE",IF(ROUND(I13,10)&gt;100*Settings!$B$7,"FAIL","PASS"))))</x:f>
        <x:v>OUT OF SCOPE</x:v>
      </x:c>
      <x:c r="K13" s="3"/>
      <x:c r="L13" s="3"/>
      <x:c r="M13" s="3"/>
      <x:c r="N13" s="3"/>
      <x:c r="O13" s="3"/>
      <x:c r="P13" s="3"/>
      <x:c r="Q13" s="3"/>
      <x:c r="R13" s="3"/>
    </x:row>
    <x:row r="14" ht="22" customHeight="1">
      <x:c r="A14" s="3" t="str">
        <x:v>E2</x:v>
      </x:c>
      <x:c r="B14" s="3" t="str">
        <x:v>experience</x:v>
      </x:c>
      <x:c r="C14" s="3" t="str">
        <x:v>regular</x:v>
      </x:c>
      <x:c r="D14" s="3" t="str">
        <x:v>T1</x:v>
      </x:c>
      <x:c r="E14" s="3" t="n">
        <x:f>COUNTIFS(E2!$F$2:$F$201,"include",E2!$E$2:$E$201,C14,E2!$K$2:$K$201,"yes",E2!$N$2:$N$201,"yes")</x:f>
        <x:v>0</x:v>
      </x:c>
      <x:c r="F14" s="3" t="n">
        <x:f>COUNTIFS(E2!$F$2:$F$201,"include",E2!$E$2:$E$201,C14,E2!$K$2:$K$201,"yes")</x:f>
        <x:v>0</x:v>
      </x:c>
      <x:c r="G14" s="3" t="n">
        <x:f>COUNTIFS(E2!$F$2:$F$201,"include",E2!$E$2:$E$201,"&lt;&gt;"&amp;C14,E2!$K$2:$K$201,"yes",E2!$N$2:$N$201,"yes")</x:f>
        <x:v>0</x:v>
      </x:c>
      <x:c r="H14" s="3" t="n">
        <x:f>COUNTIFS(E2!$F$2:$F$201,"include",E2!$E$2:$E$201,"&lt;&gt;"&amp;C14,E2!$K$2:$K$201,"yes")</x:f>
        <x:v>0</x:v>
      </x:c>
      <x:c r="I14" s="9" t="str">
        <x:f>IF(OR(F14=0,H14=0),"",100*(G14/H14-E14/F14))</x:f>
      </x:c>
      <x:c r="J14" s="3" t="str">
        <x:f>IF(AND(B14="language",NOT(ISNUMBER(SEARCH("|"&amp;C14&amp;"|","|"&amp;Settings!$B$9&amp;"|")))),"OUT OF SCOPE",IF(Scorecard!C8&lt;&gt;"PASS","BLOCKED",IF(OR(F14&lt;Settings!$B$8,H14&lt;Settings!$B$8),"INCONCLUSIVE",IF(ROUND(I14,10)&gt;100*Settings!$B$7,"FAIL","PASS"))))</x:f>
        <x:v>BLOCKED</x:v>
      </x:c>
      <x:c r="K14" s="3"/>
      <x:c r="L14" s="3"/>
      <x:c r="M14" s="3"/>
      <x:c r="N14" s="3"/>
      <x:c r="O14" s="3"/>
      <x:c r="P14" s="3"/>
      <x:c r="Q14" s="3"/>
      <x:c r="R14" s="3"/>
    </x:row>
    <x:row r="15" ht="22" customHeight="1">
      <x:c r="A15" s="3" t="str">
        <x:v>E2</x:v>
      </x:c>
      <x:c r="B15" s="3" t="str">
        <x:v>experience</x:v>
      </x:c>
      <x:c r="C15" s="3" t="str">
        <x:v>regular</x:v>
      </x:c>
      <x:c r="D15" s="3" t="str">
        <x:v>T4</x:v>
      </x:c>
      <x:c r="E15" s="3" t="n">
        <x:f>COUNTIFS(E2!$F$2:$F$201,"include",E2!$E$2:$E$201,C15,E2!$I$2:$I$201,"success",E2!$K$2:$K$201,"yes")+COUNTIFS(E2!$F$2:$F$201,"include",E2!$E$2:$E$201,C15,E2!$I$2:$I$201,"success",E2!$K$2:$K$201,"no")</x:f>
        <x:v>0</x:v>
      </x:c>
      <x:c r="F15" s="3" t="n">
        <x:f>COUNTIFS(E2!$F$2:$F$201,"include",E2!$E$2:$E$201,C15,E2!$I$2:$I$201,"success")</x:f>
        <x:v>0</x:v>
      </x:c>
      <x:c r="G15" s="3" t="n">
        <x:f>COUNTIFS(E2!$F$2:$F$201,"include",E2!$E$2:$E$201,"&lt;&gt;"&amp;C15,E2!$I$2:$I$201,"success",E2!$K$2:$K$201,"yes")+COUNTIFS(E2!$F$2:$F$201,"include",E2!$E$2:$E$201,"&lt;&gt;"&amp;C15,E2!$I$2:$I$201,"success",E2!$K$2:$K$201,"no")</x:f>
        <x:v>0</x:v>
      </x:c>
      <x:c r="H15" s="3" t="n">
        <x:f>COUNTIFS(E2!$F$2:$F$201,"include",E2!$E$2:$E$201,"&lt;&gt;"&amp;C15,E2!$I$2:$I$201,"success")</x:f>
        <x:v>0</x:v>
      </x:c>
      <x:c r="I15" s="9" t="str">
        <x:f>IF(OR(F15=0,H15=0),"",100*(G15/H15-E15/F15))</x:f>
      </x:c>
      <x:c r="J15" s="3" t="str">
        <x:f>IF(AND(B15="language",NOT(ISNUMBER(SEARCH("|"&amp;C15&amp;"|","|"&amp;Settings!$B$9&amp;"|")))),"OUT OF SCOPE",IF(Scorecard!C8&lt;&gt;"PASS","BLOCKED",IF(OR(F15&lt;Settings!$B$8,H15&lt;Settings!$B$8),"INCONCLUSIVE",IF(ROUND(I15,10)&gt;100*Settings!$B$7,"FAIL","PASS"))))</x:f>
        <x:v>BLOCKED</x:v>
      </x:c>
      <x:c r="K15" s="3"/>
      <x:c r="L15" s="3"/>
      <x:c r="M15" s="3"/>
      <x:c r="N15" s="3"/>
      <x:c r="O15" s="3"/>
      <x:c r="P15" s="3"/>
      <x:c r="Q15" s="3"/>
      <x:c r="R15" s="3"/>
    </x:row>
    <x:row r="16" ht="22" customHeight="1">
      <x:c r="A16" s="3" t="str">
        <x:v>E2</x:v>
      </x:c>
      <x:c r="B16" s="3" t="str">
        <x:v>experience</x:v>
      </x:c>
      <x:c r="C16" s="3" t="str">
        <x:v>first</x:v>
      </x:c>
      <x:c r="D16" s="3" t="str">
        <x:v>T1</x:v>
      </x:c>
      <x:c r="E16" s="3" t="n">
        <x:f>COUNTIFS(E2!$F$2:$F$201,"include",E2!$E$2:$E$201,C16,E2!$K$2:$K$201,"yes",E2!$N$2:$N$201,"yes")</x:f>
        <x:v>0</x:v>
      </x:c>
      <x:c r="F16" s="3" t="n">
        <x:f>COUNTIFS(E2!$F$2:$F$201,"include",E2!$E$2:$E$201,C16,E2!$K$2:$K$201,"yes")</x:f>
        <x:v>0</x:v>
      </x:c>
      <x:c r="G16" s="3" t="n">
        <x:f>COUNTIFS(E2!$F$2:$F$201,"include",E2!$E$2:$E$201,"&lt;&gt;"&amp;C16,E2!$K$2:$K$201,"yes",E2!$N$2:$N$201,"yes")</x:f>
        <x:v>0</x:v>
      </x:c>
      <x:c r="H16" s="3" t="n">
        <x:f>COUNTIFS(E2!$F$2:$F$201,"include",E2!$E$2:$E$201,"&lt;&gt;"&amp;C16,E2!$K$2:$K$201,"yes")</x:f>
        <x:v>0</x:v>
      </x:c>
      <x:c r="I16" s="9" t="str">
        <x:f>IF(OR(F16=0,H16=0),"",100*(G16/H16-E16/F16))</x:f>
      </x:c>
      <x:c r="J16" s="3" t="str">
        <x:f>IF(AND(B16="language",NOT(ISNUMBER(SEARCH("|"&amp;C16&amp;"|","|"&amp;Settings!$B$9&amp;"|")))),"OUT OF SCOPE",IF(Scorecard!C8&lt;&gt;"PASS","BLOCKED",IF(OR(F16&lt;Settings!$B$8,H16&lt;Settings!$B$8),"INCONCLUSIVE",IF(ROUND(I16,10)&gt;100*Settings!$B$7,"FAIL","PASS"))))</x:f>
        <x:v>BLOCKED</x:v>
      </x:c>
      <x:c r="K16" s="3"/>
      <x:c r="L16" s="3"/>
      <x:c r="M16" s="3"/>
      <x:c r="N16" s="3"/>
      <x:c r="O16" s="3"/>
      <x:c r="P16" s="3"/>
      <x:c r="Q16" s="3"/>
      <x:c r="R16" s="3"/>
    </x:row>
    <x:row r="17" ht="22" customHeight="1">
      <x:c r="A17" s="3" t="str">
        <x:v>E2</x:v>
      </x:c>
      <x:c r="B17" s="3" t="str">
        <x:v>experience</x:v>
      </x:c>
      <x:c r="C17" s="3" t="str">
        <x:v>first</x:v>
      </x:c>
      <x:c r="D17" s="3" t="str">
        <x:v>T4</x:v>
      </x:c>
      <x:c r="E17" s="3" t="n">
        <x:f>COUNTIFS(E2!$F$2:$F$201,"include",E2!$E$2:$E$201,C17,E2!$I$2:$I$201,"success",E2!$K$2:$K$201,"yes")+COUNTIFS(E2!$F$2:$F$201,"include",E2!$E$2:$E$201,C17,E2!$I$2:$I$201,"success",E2!$K$2:$K$201,"no")</x:f>
        <x:v>0</x:v>
      </x:c>
      <x:c r="F17" s="3" t="n">
        <x:f>COUNTIFS(E2!$F$2:$F$201,"include",E2!$E$2:$E$201,C17,E2!$I$2:$I$201,"success")</x:f>
        <x:v>0</x:v>
      </x:c>
      <x:c r="G17" s="3" t="n">
        <x:f>COUNTIFS(E2!$F$2:$F$201,"include",E2!$E$2:$E$201,"&lt;&gt;"&amp;C17,E2!$I$2:$I$201,"success",E2!$K$2:$K$201,"yes")+COUNTIFS(E2!$F$2:$F$201,"include",E2!$E$2:$E$201,"&lt;&gt;"&amp;C17,E2!$I$2:$I$201,"success",E2!$K$2:$K$201,"no")</x:f>
        <x:v>0</x:v>
      </x:c>
      <x:c r="H17" s="3" t="n">
        <x:f>COUNTIFS(E2!$F$2:$F$201,"include",E2!$E$2:$E$201,"&lt;&gt;"&amp;C17,E2!$I$2:$I$201,"success")</x:f>
        <x:v>0</x:v>
      </x:c>
      <x:c r="I17" s="9" t="str">
        <x:f>IF(OR(F17=0,H17=0),"",100*(G17/H17-E17/F17))</x:f>
      </x:c>
      <x:c r="J17" s="3" t="str">
        <x:f>IF(AND(B17="language",NOT(ISNUMBER(SEARCH("|"&amp;C17&amp;"|","|"&amp;Settings!$B$9&amp;"|")))),"OUT OF SCOPE",IF(Scorecard!C8&lt;&gt;"PASS","BLOCKED",IF(OR(F17&lt;Settings!$B$8,H17&lt;Settings!$B$8),"INCONCLUSIVE",IF(ROUND(I17,10)&gt;100*Settings!$B$7,"FAIL","PASS"))))</x:f>
        <x:v>BLOCKED</x:v>
      </x:c>
      <x:c r="K17" s="3"/>
      <x:c r="L17" s="3"/>
      <x:c r="M17" s="3"/>
      <x:c r="N17" s="3"/>
      <x:c r="O17" s="3"/>
      <x:c r="P17" s="3"/>
      <x:c r="Q17" s="3"/>
      <x:c r="R17" s="3"/>
    </x:row>
    <x:row r="18" ht="22" customHeight="1">
      <x:c r="A18" s="3" t="str">
        <x:v>E2</x:v>
      </x:c>
      <x:c r="B18" s="3" t="str">
        <x:v>language</x:v>
      </x:c>
      <x:c r="C18" s="3" t="str">
        <x:v>EN</x:v>
      </x:c>
      <x:c r="D18" s="3" t="str">
        <x:v>T1</x:v>
      </x:c>
      <x:c r="E18" s="3" t="n">
        <x:f>COUNTIFS(E2!$F$2:$F$201,"include",E2!$D$2:$D$201,C18,E2!$K$2:$K$201,"yes",E2!$N$2:$N$201,"yes")</x:f>
        <x:v>0</x:v>
      </x:c>
      <x:c r="F18" s="3" t="n">
        <x:f>COUNTIFS(E2!$F$2:$F$201,"include",E2!$D$2:$D$201,C18,E2!$K$2:$K$201,"yes")</x:f>
        <x:v>0</x:v>
      </x:c>
      <x:c r="G18" s="3" t="n">
        <x:f>COUNTIFS(E2!$F$2:$F$201,"include",E2!$D$2:$D$201,"&lt;&gt;"&amp;C18,E2!$K$2:$K$201,"yes",E2!$N$2:$N$201,"yes")</x:f>
        <x:v>0</x:v>
      </x:c>
      <x:c r="H18" s="3" t="n">
        <x:f>COUNTIFS(E2!$F$2:$F$201,"include",E2!$D$2:$D$201,"&lt;&gt;"&amp;C18,E2!$K$2:$K$201,"yes")</x:f>
        <x:v>0</x:v>
      </x:c>
      <x:c r="I18" s="9" t="str">
        <x:f>IF(OR(F18=0,H18=0),"",100*(G18/H18-E18/F18))</x:f>
      </x:c>
      <x:c r="J18" s="3" t="str">
        <x:f>IF(AND(B18="language",NOT(ISNUMBER(SEARCH("|"&amp;C18&amp;"|","|"&amp;Settings!$B$9&amp;"|")))),"OUT OF SCOPE",IF(Scorecard!C8&lt;&gt;"PASS","BLOCKED",IF(OR(F18&lt;Settings!$B$8,H18&lt;Settings!$B$8),"INCONCLUSIVE",IF(ROUND(I18,10)&gt;100*Settings!$B$7,"FAIL","PASS"))))</x:f>
        <x:v>BLOCKED</x:v>
      </x:c>
      <x:c r="K18" s="3"/>
      <x:c r="L18" s="3"/>
      <x:c r="M18" s="3"/>
      <x:c r="N18" s="3"/>
      <x:c r="O18" s="3"/>
      <x:c r="P18" s="3"/>
      <x:c r="Q18" s="3"/>
      <x:c r="R18" s="3"/>
    </x:row>
    <x:row r="19" ht="22" customHeight="1">
      <x:c r="A19" s="3" t="str">
        <x:v>E2</x:v>
      </x:c>
      <x:c r="B19" s="3" t="str">
        <x:v>language</x:v>
      </x:c>
      <x:c r="C19" s="3" t="str">
        <x:v>EN</x:v>
      </x:c>
      <x:c r="D19" s="3" t="str">
        <x:v>T4</x:v>
      </x:c>
      <x:c r="E19" s="3" t="n">
        <x:f>COUNTIFS(E2!$F$2:$F$201,"include",E2!$D$2:$D$201,C19,E2!$I$2:$I$201,"success",E2!$K$2:$K$201,"yes")+COUNTIFS(E2!$F$2:$F$201,"include",E2!$D$2:$D$201,C19,E2!$I$2:$I$201,"success",E2!$K$2:$K$201,"no")</x:f>
        <x:v>0</x:v>
      </x:c>
      <x:c r="F19" s="3" t="n">
        <x:f>COUNTIFS(E2!$F$2:$F$201,"include",E2!$D$2:$D$201,C19,E2!$I$2:$I$201,"success")</x:f>
        <x:v>0</x:v>
      </x:c>
      <x:c r="G19" s="3" t="n">
        <x:f>COUNTIFS(E2!$F$2:$F$201,"include",E2!$D$2:$D$201,"&lt;&gt;"&amp;C19,E2!$I$2:$I$201,"success",E2!$K$2:$K$201,"yes")+COUNTIFS(E2!$F$2:$F$201,"include",E2!$D$2:$D$201,"&lt;&gt;"&amp;C19,E2!$I$2:$I$201,"success",E2!$K$2:$K$201,"no")</x:f>
        <x:v>0</x:v>
      </x:c>
      <x:c r="H19" s="3" t="n">
        <x:f>COUNTIFS(E2!$F$2:$F$201,"include",E2!$D$2:$D$201,"&lt;&gt;"&amp;C19,E2!$I$2:$I$201,"success")</x:f>
        <x:v>0</x:v>
      </x:c>
      <x:c r="I19" s="9" t="str">
        <x:f>IF(OR(F19=0,H19=0),"",100*(G19/H19-E19/F19))</x:f>
      </x:c>
      <x:c r="J19" s="3" t="str">
        <x:f>IF(AND(B19="language",NOT(ISNUMBER(SEARCH("|"&amp;C19&amp;"|","|"&amp;Settings!$B$9&amp;"|")))),"OUT OF SCOPE",IF(Scorecard!C8&lt;&gt;"PASS","BLOCKED",IF(OR(F19&lt;Settings!$B$8,H19&lt;Settings!$B$8),"INCONCLUSIVE",IF(ROUND(I19,10)&gt;100*Settings!$B$7,"FAIL","PASS"))))</x:f>
        <x:v>BLOCKED</x:v>
      </x:c>
      <x:c r="K19" s="3"/>
      <x:c r="L19" s="3"/>
      <x:c r="M19" s="3"/>
      <x:c r="N19" s="3"/>
      <x:c r="O19" s="3"/>
      <x:c r="P19" s="3"/>
      <x:c r="Q19" s="3"/>
      <x:c r="R19" s="3"/>
    </x:row>
    <x:row r="20" ht="22" customHeight="1">
      <x:c r="A20" s="3" t="str">
        <x:v>E2</x:v>
      </x:c>
      <x:c r="B20" s="3" t="str">
        <x:v>language</x:v>
      </x:c>
      <x:c r="C20" s="3" t="str">
        <x:v>ZH</x:v>
      </x:c>
      <x:c r="D20" s="3" t="str">
        <x:v>T1</x:v>
      </x:c>
      <x:c r="E20" s="3" t="n">
        <x:f>COUNTIFS(E2!$F$2:$F$201,"include",E2!$D$2:$D$201,C20,E2!$K$2:$K$201,"yes",E2!$N$2:$N$201,"yes")</x:f>
        <x:v>0</x:v>
      </x:c>
      <x:c r="F20" s="3" t="n">
        <x:f>COUNTIFS(E2!$F$2:$F$201,"include",E2!$D$2:$D$201,C20,E2!$K$2:$K$201,"yes")</x:f>
        <x:v>0</x:v>
      </x:c>
      <x:c r="G20" s="3" t="n">
        <x:f>COUNTIFS(E2!$F$2:$F$201,"include",E2!$D$2:$D$201,"&lt;&gt;"&amp;C20,E2!$K$2:$K$201,"yes",E2!$N$2:$N$201,"yes")</x:f>
        <x:v>0</x:v>
      </x:c>
      <x:c r="H20" s="3" t="n">
        <x:f>COUNTIFS(E2!$F$2:$F$201,"include",E2!$D$2:$D$201,"&lt;&gt;"&amp;C20,E2!$K$2:$K$201,"yes")</x:f>
        <x:v>0</x:v>
      </x:c>
      <x:c r="I20" s="9" t="str">
        <x:f>IF(OR(F20=0,H20=0),"",100*(G20/H20-E20/F20))</x:f>
      </x:c>
      <x:c r="J20" s="3" t="str">
        <x:f>IF(AND(B20="language",NOT(ISNUMBER(SEARCH("|"&amp;C20&amp;"|","|"&amp;Settings!$B$9&amp;"|")))),"OUT OF SCOPE",IF(Scorecard!C8&lt;&gt;"PASS","BLOCKED",IF(OR(F20&lt;Settings!$B$8,H20&lt;Settings!$B$8),"INCONCLUSIVE",IF(ROUND(I20,10)&gt;100*Settings!$B$7,"FAIL","PASS"))))</x:f>
        <x:v>BLOCKED</x:v>
      </x:c>
      <x:c r="K20" s="3"/>
      <x:c r="L20" s="3"/>
      <x:c r="M20" s="3"/>
      <x:c r="N20" s="3"/>
      <x:c r="O20" s="3"/>
      <x:c r="P20" s="3"/>
      <x:c r="Q20" s="3"/>
      <x:c r="R20" s="3"/>
    </x:row>
    <x:row r="21" ht="22" customHeight="1">
      <x:c r="A21" s="3" t="str">
        <x:v>E2</x:v>
      </x:c>
      <x:c r="B21" s="3" t="str">
        <x:v>language</x:v>
      </x:c>
      <x:c r="C21" s="3" t="str">
        <x:v>ZH</x:v>
      </x:c>
      <x:c r="D21" s="3" t="str">
        <x:v>T4</x:v>
      </x:c>
      <x:c r="E21" s="3" t="n">
        <x:f>COUNTIFS(E2!$F$2:$F$201,"include",E2!$D$2:$D$201,C21,E2!$I$2:$I$201,"success",E2!$K$2:$K$201,"yes")+COUNTIFS(E2!$F$2:$F$201,"include",E2!$D$2:$D$201,C21,E2!$I$2:$I$201,"success",E2!$K$2:$K$201,"no")</x:f>
        <x:v>0</x:v>
      </x:c>
      <x:c r="F21" s="3" t="n">
        <x:f>COUNTIFS(E2!$F$2:$F$201,"include",E2!$D$2:$D$201,C21,E2!$I$2:$I$201,"success")</x:f>
        <x:v>0</x:v>
      </x:c>
      <x:c r="G21" s="3" t="n">
        <x:f>COUNTIFS(E2!$F$2:$F$201,"include",E2!$D$2:$D$201,"&lt;&gt;"&amp;C21,E2!$I$2:$I$201,"success",E2!$K$2:$K$201,"yes")+COUNTIFS(E2!$F$2:$F$201,"include",E2!$D$2:$D$201,"&lt;&gt;"&amp;C21,E2!$I$2:$I$201,"success",E2!$K$2:$K$201,"no")</x:f>
        <x:v>0</x:v>
      </x:c>
      <x:c r="H21" s="3" t="n">
        <x:f>COUNTIFS(E2!$F$2:$F$201,"include",E2!$D$2:$D$201,"&lt;&gt;"&amp;C21,E2!$I$2:$I$201,"success")</x:f>
        <x:v>0</x:v>
      </x:c>
      <x:c r="I21" s="9" t="str">
        <x:f>IF(OR(F21=0,H21=0),"",100*(G21/H21-E21/F21))</x:f>
      </x:c>
      <x:c r="J21" s="3" t="str">
        <x:f>IF(AND(B21="language",NOT(ISNUMBER(SEARCH("|"&amp;C21&amp;"|","|"&amp;Settings!$B$9&amp;"|")))),"OUT OF SCOPE",IF(Scorecard!C8&lt;&gt;"PASS","BLOCKED",IF(OR(F21&lt;Settings!$B$8,H21&lt;Settings!$B$8),"INCONCLUSIVE",IF(ROUND(I21,10)&gt;100*Settings!$B$7,"FAIL","PASS"))))</x:f>
        <x:v>BLOCKED</x:v>
      </x:c>
      <x:c r="K21" s="3"/>
      <x:c r="L21" s="3"/>
      <x:c r="M21" s="3"/>
      <x:c r="N21" s="3"/>
      <x:c r="O21" s="3"/>
      <x:c r="P21" s="3"/>
      <x:c r="Q21" s="3"/>
      <x:c r="R21" s="3"/>
    </x:row>
    <x:row r="22" ht="22" customHeight="1">
      <x:c r="A22" s="3" t="str">
        <x:v>E2</x:v>
      </x:c>
      <x:c r="B22" s="3" t="str">
        <x:v>language</x:v>
      </x:c>
      <x:c r="C22" s="3" t="str">
        <x:v>MS</x:v>
      </x:c>
      <x:c r="D22" s="3" t="str">
        <x:v>T1</x:v>
      </x:c>
      <x:c r="E22" s="3" t="n">
        <x:f>COUNTIFS(E2!$F$2:$F$201,"include",E2!$D$2:$D$201,C22,E2!$K$2:$K$201,"yes",E2!$N$2:$N$201,"yes")</x:f>
        <x:v>0</x:v>
      </x:c>
      <x:c r="F22" s="3" t="n">
        <x:f>COUNTIFS(E2!$F$2:$F$201,"include",E2!$D$2:$D$201,C22,E2!$K$2:$K$201,"yes")</x:f>
        <x:v>0</x:v>
      </x:c>
      <x:c r="G22" s="3" t="n">
        <x:f>COUNTIFS(E2!$F$2:$F$201,"include",E2!$D$2:$D$201,"&lt;&gt;"&amp;C22,E2!$K$2:$K$201,"yes",E2!$N$2:$N$201,"yes")</x:f>
        <x:v>0</x:v>
      </x:c>
      <x:c r="H22" s="3" t="n">
        <x:f>COUNTIFS(E2!$F$2:$F$201,"include",E2!$D$2:$D$201,"&lt;&gt;"&amp;C22,E2!$K$2:$K$201,"yes")</x:f>
        <x:v>0</x:v>
      </x:c>
      <x:c r="I22" s="9" t="str">
        <x:f>IF(OR(F22=0,H22=0),"",100*(G22/H22-E22/F22))</x:f>
      </x:c>
      <x:c r="J22" s="3" t="str">
        <x:f>IF(AND(B22="language",NOT(ISNUMBER(SEARCH("|"&amp;C22&amp;"|","|"&amp;Settings!$B$9&amp;"|")))),"OUT OF SCOPE",IF(Scorecard!C8&lt;&gt;"PASS","BLOCKED",IF(OR(F22&lt;Settings!$B$8,H22&lt;Settings!$B$8),"INCONCLUSIVE",IF(ROUND(I22,10)&gt;100*Settings!$B$7,"FAIL","PASS"))))</x:f>
        <x:v>BLOCKED</x:v>
      </x:c>
      <x:c r="K22" s="3"/>
      <x:c r="L22" s="3"/>
      <x:c r="M22" s="3"/>
      <x:c r="N22" s="3"/>
      <x:c r="O22" s="3"/>
      <x:c r="P22" s="3"/>
      <x:c r="Q22" s="3"/>
      <x:c r="R22" s="3"/>
    </x:row>
    <x:row r="23" ht="22" customHeight="1">
      <x:c r="A23" s="3" t="str">
        <x:v>E2</x:v>
      </x:c>
      <x:c r="B23" s="3" t="str">
        <x:v>language</x:v>
      </x:c>
      <x:c r="C23" s="3" t="str">
        <x:v>MS</x:v>
      </x:c>
      <x:c r="D23" s="3" t="str">
        <x:v>T4</x:v>
      </x:c>
      <x:c r="E23" s="3" t="n">
        <x:f>COUNTIFS(E2!$F$2:$F$201,"include",E2!$D$2:$D$201,C23,E2!$I$2:$I$201,"success",E2!$K$2:$K$201,"yes")+COUNTIFS(E2!$F$2:$F$201,"include",E2!$D$2:$D$201,C23,E2!$I$2:$I$201,"success",E2!$K$2:$K$201,"no")</x:f>
        <x:v>0</x:v>
      </x:c>
      <x:c r="F23" s="3" t="n">
        <x:f>COUNTIFS(E2!$F$2:$F$201,"include",E2!$D$2:$D$201,C23,E2!$I$2:$I$201,"success")</x:f>
        <x:v>0</x:v>
      </x:c>
      <x:c r="G23" s="3" t="n">
        <x:f>COUNTIFS(E2!$F$2:$F$201,"include",E2!$D$2:$D$201,"&lt;&gt;"&amp;C23,E2!$I$2:$I$201,"success",E2!$K$2:$K$201,"yes")+COUNTIFS(E2!$F$2:$F$201,"include",E2!$D$2:$D$201,"&lt;&gt;"&amp;C23,E2!$I$2:$I$201,"success",E2!$K$2:$K$201,"no")</x:f>
        <x:v>0</x:v>
      </x:c>
      <x:c r="H23" s="3" t="n">
        <x:f>COUNTIFS(E2!$F$2:$F$201,"include",E2!$D$2:$D$201,"&lt;&gt;"&amp;C23,E2!$I$2:$I$201,"success")</x:f>
        <x:v>0</x:v>
      </x:c>
      <x:c r="I23" s="9" t="str">
        <x:f>IF(OR(F23=0,H23=0),"",100*(G23/H23-E23/F23))</x:f>
      </x:c>
      <x:c r="J23" s="3" t="str">
        <x:f>IF(AND(B23="language",NOT(ISNUMBER(SEARCH("|"&amp;C23&amp;"|","|"&amp;Settings!$B$9&amp;"|")))),"OUT OF SCOPE",IF(Scorecard!C8&lt;&gt;"PASS","BLOCKED",IF(OR(F23&lt;Settings!$B$8,H23&lt;Settings!$B$8),"INCONCLUSIVE",IF(ROUND(I23,10)&gt;100*Settings!$B$7,"FAIL","PASS"))))</x:f>
        <x:v>BLOCKED</x:v>
      </x:c>
      <x:c r="K23" s="3"/>
      <x:c r="L23" s="3"/>
      <x:c r="M23" s="3"/>
      <x:c r="N23" s="3"/>
      <x:c r="O23" s="3"/>
      <x:c r="P23" s="3"/>
      <x:c r="Q23" s="3"/>
      <x:c r="R23" s="3"/>
    </x:row>
    <x:row r="24" ht="22" customHeight="1">
      <x:c r="A24" s="3" t="str">
        <x:v>E2</x:v>
      </x:c>
      <x:c r="B24" s="3" t="str">
        <x:v>language</x:v>
      </x:c>
      <x:c r="C24" s="3" t="str">
        <x:v>TA</x:v>
      </x:c>
      <x:c r="D24" s="3" t="str">
        <x:v>T1</x:v>
      </x:c>
      <x:c r="E24" s="3" t="n">
        <x:f>COUNTIFS(E2!$F$2:$F$201,"include",E2!$D$2:$D$201,C24,E2!$K$2:$K$201,"yes",E2!$N$2:$N$201,"yes")</x:f>
        <x:v>0</x:v>
      </x:c>
      <x:c r="F24" s="3" t="n">
        <x:f>COUNTIFS(E2!$F$2:$F$201,"include",E2!$D$2:$D$201,C24,E2!$K$2:$K$201,"yes")</x:f>
        <x:v>0</x:v>
      </x:c>
      <x:c r="G24" s="3" t="n">
        <x:f>COUNTIFS(E2!$F$2:$F$201,"include",E2!$D$2:$D$201,"&lt;&gt;"&amp;C24,E2!$K$2:$K$201,"yes",E2!$N$2:$N$201,"yes")</x:f>
        <x:v>0</x:v>
      </x:c>
      <x:c r="H24" s="3" t="n">
        <x:f>COUNTIFS(E2!$F$2:$F$201,"include",E2!$D$2:$D$201,"&lt;&gt;"&amp;C24,E2!$K$2:$K$201,"yes")</x:f>
        <x:v>0</x:v>
      </x:c>
      <x:c r="I24" s="9" t="str">
        <x:f>IF(OR(F24=0,H24=0),"",100*(G24/H24-E24/F24))</x:f>
      </x:c>
      <x:c r="J24" s="3" t="str">
        <x:f>IF(AND(B24="language",NOT(ISNUMBER(SEARCH("|"&amp;C24&amp;"|","|"&amp;Settings!$B$9&amp;"|")))),"OUT OF SCOPE",IF(Scorecard!C8&lt;&gt;"PASS","BLOCKED",IF(OR(F24&lt;Settings!$B$8,H24&lt;Settings!$B$8),"INCONCLUSIVE",IF(ROUND(I24,10)&gt;100*Settings!$B$7,"FAIL","PASS"))))</x:f>
        <x:v>OUT OF SCOPE</x:v>
      </x:c>
      <x:c r="K24" s="3"/>
      <x:c r="L24" s="3"/>
      <x:c r="M24" s="3"/>
      <x:c r="N24" s="3"/>
      <x:c r="O24" s="3"/>
      <x:c r="P24" s="3"/>
      <x:c r="Q24" s="3"/>
      <x:c r="R24" s="3"/>
    </x:row>
    <x:row r="25" ht="22" customHeight="1">
      <x:c r="A25" s="3" t="str">
        <x:v>E2</x:v>
      </x:c>
      <x:c r="B25" s="3" t="str">
        <x:v>language</x:v>
      </x:c>
      <x:c r="C25" s="3" t="str">
        <x:v>TA</x:v>
      </x:c>
      <x:c r="D25" s="3" t="str">
        <x:v>T4</x:v>
      </x:c>
      <x:c r="E25" s="3" t="n">
        <x:f>COUNTIFS(E2!$F$2:$F$201,"include",E2!$D$2:$D$201,C25,E2!$I$2:$I$201,"success",E2!$K$2:$K$201,"yes")+COUNTIFS(E2!$F$2:$F$201,"include",E2!$D$2:$D$201,C25,E2!$I$2:$I$201,"success",E2!$K$2:$K$201,"no")</x:f>
        <x:v>0</x:v>
      </x:c>
      <x:c r="F25" s="3" t="n">
        <x:f>COUNTIFS(E2!$F$2:$F$201,"include",E2!$D$2:$D$201,C25,E2!$I$2:$I$201,"success")</x:f>
        <x:v>0</x:v>
      </x:c>
      <x:c r="G25" s="3" t="n">
        <x:f>COUNTIFS(E2!$F$2:$F$201,"include",E2!$D$2:$D$201,"&lt;&gt;"&amp;C25,E2!$I$2:$I$201,"success",E2!$K$2:$K$201,"yes")+COUNTIFS(E2!$F$2:$F$201,"include",E2!$D$2:$D$201,"&lt;&gt;"&amp;C25,E2!$I$2:$I$201,"success",E2!$K$2:$K$201,"no")</x:f>
        <x:v>0</x:v>
      </x:c>
      <x:c r="H25" s="3" t="n">
        <x:f>COUNTIFS(E2!$F$2:$F$201,"include",E2!$D$2:$D$201,"&lt;&gt;"&amp;C25,E2!$I$2:$I$201,"success")</x:f>
        <x:v>0</x:v>
      </x:c>
      <x:c r="I25" s="9" t="str">
        <x:f>IF(OR(F25=0,H25=0),"",100*(G25/H25-E25/F25))</x:f>
      </x:c>
      <x:c r="J25" s="3" t="str">
        <x:f>IF(AND(B25="language",NOT(ISNUMBER(SEARCH("|"&amp;C25&amp;"|","|"&amp;Settings!$B$9&amp;"|")))),"OUT OF SCOPE",IF(Scorecard!C8&lt;&gt;"PASS","BLOCKED",IF(OR(F25&lt;Settings!$B$8,H25&lt;Settings!$B$8),"INCONCLUSIVE",IF(ROUND(I25,10)&gt;100*Settings!$B$7,"FAIL","PASS"))))</x:f>
        <x:v>OUT OF SCOPE</x:v>
      </x:c>
      <x:c r="K25" s="3"/>
      <x:c r="L25" s="3"/>
      <x:c r="M25" s="3"/>
      <x:c r="N25" s="3"/>
      <x:c r="O25" s="3"/>
      <x:c r="P25" s="3"/>
      <x:c r="Q25" s="3"/>
      <x:c r="R25" s="3"/>
    </x:row>
    <x:row r="26" ht="2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2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2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2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2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2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2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2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2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ht="22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ht="22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ht="22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ht="22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ht="2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ht="22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ht="22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ht="22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ht="22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ht="22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ht="22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ht="22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ht="22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ht="22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ht="22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ht="22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ht="22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ht="22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ht="22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ht="22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ht="22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ht="22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ht="22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ht="2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ht="22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ht="22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ht="22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ht="2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ht="2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ht="2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ht="2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ht="2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ht="2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ht="2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ht="2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ht="2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ht="2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ht="2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ht="2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ht="2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ht="2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ht="2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ht="2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ht="2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ht="2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ht="2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ht="2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ht="2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ht="2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ht="2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ht="2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ht="2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ht="22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ht="22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ht="22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ht="22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ht="22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ht="22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ht="22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ht="22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ht="22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ht="22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ht="22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ht="22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ht="22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ht="22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ht="22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ht="22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ht="22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ht="22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ht="22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ht="22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ht="22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ht="22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ht="22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ht="22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ht="22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ht="22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ht="22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ht="22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ht="22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ht="22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ht="22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ht="22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ht="22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ht="22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ht="22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ht="22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ht="22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ht="22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ht="22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ht="22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ht="22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ht="22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ht="22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ht="22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ht="22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ht="22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ht="22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ht="22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ht="22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ht="22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ht="22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ht="22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ht="22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ht="22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ht="22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ht="22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ht="22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ht="22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ht="22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ht="22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ht="22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ht="22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ht="22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ht="22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ht="22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ht="22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ht="22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ht="22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ht="22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ht="22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ht="22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ht="22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ht="22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ht="22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ht="22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ht="22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ht="22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ht="22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ht="22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ht="22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ht="22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ht="22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ht="22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ht="22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ht="22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ht="22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ht="22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ht="22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ht="22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ht="22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  <x:row r="181" ht="22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</x:row>
    <x:row r="182" ht="22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</x:row>
    <x:row r="183" ht="22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</x:row>
    <x:row r="184" ht="22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</x:row>
    <x:row r="185" ht="22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</x:row>
    <x:row r="186" ht="22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</x:row>
    <x:row r="187" ht="22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</x:row>
    <x:row r="188" ht="22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</x:row>
    <x:row r="189" ht="22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</x:row>
    <x:row r="190" ht="22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</x:row>
    <x:row r="191" ht="22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</x:row>
    <x:row r="192" ht="22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</x:row>
    <x:row r="193" ht="22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</x:row>
    <x:row r="194" ht="22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</x:row>
    <x:row r="195" ht="22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</x:row>
    <x:row r="196" ht="22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</x:row>
    <x:row r="197" ht="22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</x:row>
    <x:row r="198" ht="22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</x:row>
    <x:row r="199" ht="22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</x:row>
    <x:row r="200" ht="22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</x:row>
    <x:row r="201" ht="22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</x:row>
    <x:row r="202" ht="22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</x:row>
    <x:row r="203" ht="22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</x:row>
    <x:row r="204" ht="22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</x:row>
    <x:row r="205" ht="22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</x:row>
  </x:sheetData>
  <x:conditionalFormatting sqref="A1:R205">
    <x:cfRule type="containsText" dxfId="5" priority="1" operator="containsText" text="FAIL"/>
    <x:cfRule type="containsText" dxfId="6" priority="2" operator="containsText" text="BLOCKED"/>
    <x:cfRule type="containsText" dxfId="7" priority="3" operator="containsText" text="INCONCLUSIVE"/>
  </x:conditionalFormatting>
  <x:pageMargins left="0.7" right="0.7" top="0.75" bottom="0.75" header="0.3" footer="0.3"/>
</x:worksheet>
</file>